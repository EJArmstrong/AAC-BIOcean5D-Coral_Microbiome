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88f2c8d2f8749d/Documents/R/BIOcean5D/Data_Sequences/True_Sequences_ITS2/20250128T160811_armster1/its2_type_profiles/"/>
    </mc:Choice>
  </mc:AlternateContent>
  <xr:revisionPtr revIDLastSave="23" documentId="8_{B571053F-35D1-49D2-8020-F8E80C58B313}" xr6:coauthVersionLast="47" xr6:coauthVersionMax="47" xr10:uidLastSave="{7E72BB88-30FD-401D-8E1C-07962D296E85}"/>
  <bookViews>
    <workbookView xWindow="20" yWindow="20" windowWidth="19180" windowHeight="10780" activeTab="3" xr2:uid="{C4E1E0A4-B23F-42FC-AC09-41177CB8750E}"/>
  </bookViews>
  <sheets>
    <sheet name="RData_Abso" sheetId="5" r:id="rId1"/>
    <sheet name="RData_Rela" sheetId="1" r:id="rId2"/>
    <sheet name="MetaData" sheetId="3" r:id="rId3"/>
    <sheet name="SampleKey" sheetId="7" r:id="rId4"/>
  </sheets>
  <calcPr calcId="191029" iterateDelta="1E-4"/>
</workbook>
</file>

<file path=xl/calcChain.xml><?xml version="1.0" encoding="utf-8"?>
<calcChain xmlns="http://schemas.openxmlformats.org/spreadsheetml/2006/main">
  <c r="C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8" i="7"/>
  <c r="H41" i="7"/>
  <c r="H43" i="7"/>
  <c r="H44" i="7"/>
  <c r="H45" i="7"/>
  <c r="H46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7" i="7"/>
  <c r="H98" i="7"/>
  <c r="H99" i="7"/>
  <c r="H100" i="7"/>
  <c r="H101" i="7"/>
  <c r="H102" i="7"/>
  <c r="H103" i="7"/>
  <c r="H104" i="7"/>
  <c r="H105" i="7"/>
  <c r="H106" i="7"/>
  <c r="H107" i="7"/>
  <c r="H109" i="7"/>
  <c r="H110" i="7"/>
  <c r="H111" i="7"/>
  <c r="H112" i="7"/>
  <c r="H113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5" i="7"/>
  <c r="H136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40" i="7"/>
  <c r="G41" i="7"/>
  <c r="G43" i="7"/>
  <c r="G44" i="7"/>
  <c r="G45" i="7"/>
  <c r="G46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9" i="7"/>
  <c r="G110" i="7"/>
  <c r="G111" i="7"/>
  <c r="G112" i="7"/>
  <c r="G113" i="7"/>
  <c r="G115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5" i="7"/>
  <c r="G13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H18" i="7" s="1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G39" i="7" s="1"/>
  <c r="F40" i="7"/>
  <c r="F41" i="7"/>
  <c r="F42" i="7"/>
  <c r="G42" i="7" s="1"/>
  <c r="F43" i="7"/>
  <c r="F44" i="7"/>
  <c r="F45" i="7"/>
  <c r="F46" i="7"/>
  <c r="F47" i="7"/>
  <c r="G47" i="7" s="1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G94" i="7" s="1"/>
  <c r="F95" i="7"/>
  <c r="G95" i="7" s="1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G108" i="7" s="1"/>
  <c r="F109" i="7"/>
  <c r="F110" i="7"/>
  <c r="F111" i="7"/>
  <c r="F112" i="7"/>
  <c r="F113" i="7"/>
  <c r="F114" i="7"/>
  <c r="G114" i="7" s="1"/>
  <c r="F115" i="7"/>
  <c r="F116" i="7"/>
  <c r="G116" i="7" s="1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G134" i="7" s="1"/>
  <c r="F135" i="7"/>
  <c r="F136" i="7"/>
  <c r="F2" i="7"/>
  <c r="G2" i="7" s="1"/>
  <c r="D3" i="7"/>
  <c r="E3" i="7"/>
  <c r="D4" i="7"/>
  <c r="E4" i="7" s="1"/>
  <c r="D5" i="7"/>
  <c r="E5" i="7"/>
  <c r="D6" i="7"/>
  <c r="E6" i="7"/>
  <c r="D7" i="7"/>
  <c r="E7" i="7"/>
  <c r="D8" i="7"/>
  <c r="E8" i="7" s="1"/>
  <c r="D9" i="7"/>
  <c r="E9" i="7"/>
  <c r="D10" i="7"/>
  <c r="E10" i="7"/>
  <c r="D11" i="7"/>
  <c r="E11" i="7"/>
  <c r="D12" i="7"/>
  <c r="E12" i="7" s="1"/>
  <c r="D13" i="7"/>
  <c r="E13" i="7"/>
  <c r="D14" i="7"/>
  <c r="E14" i="7"/>
  <c r="D15" i="7"/>
  <c r="E15" i="7"/>
  <c r="D16" i="7"/>
  <c r="E16" i="7" s="1"/>
  <c r="D17" i="7"/>
  <c r="E17" i="7"/>
  <c r="E18" i="7"/>
  <c r="D19" i="7"/>
  <c r="E19" i="7"/>
  <c r="D20" i="7"/>
  <c r="E20" i="7" s="1"/>
  <c r="D21" i="7"/>
  <c r="E21" i="7"/>
  <c r="D22" i="7"/>
  <c r="E22" i="7"/>
  <c r="D23" i="7"/>
  <c r="E23" i="7"/>
  <c r="D24" i="7"/>
  <c r="E24" i="7" s="1"/>
  <c r="D25" i="7"/>
  <c r="E25" i="7"/>
  <c r="D26" i="7"/>
  <c r="E26" i="7"/>
  <c r="D27" i="7"/>
  <c r="E27" i="7"/>
  <c r="D28" i="7"/>
  <c r="E28" i="7" s="1"/>
  <c r="D29" i="7"/>
  <c r="E29" i="7"/>
  <c r="D30" i="7"/>
  <c r="E30" i="7"/>
  <c r="D31" i="7"/>
  <c r="E31" i="7"/>
  <c r="D32" i="7"/>
  <c r="E32" i="7" s="1"/>
  <c r="D33" i="7"/>
  <c r="E33" i="7"/>
  <c r="D34" i="7"/>
  <c r="E34" i="7"/>
  <c r="D35" i="7"/>
  <c r="E35" i="7"/>
  <c r="D36" i="7"/>
  <c r="E36" i="7" s="1"/>
  <c r="E37" i="7"/>
  <c r="D38" i="7"/>
  <c r="E38" i="7"/>
  <c r="E39" i="7"/>
  <c r="E40" i="7"/>
  <c r="D41" i="7"/>
  <c r="E41" i="7"/>
  <c r="E42" i="7"/>
  <c r="D43" i="7"/>
  <c r="E43" i="7"/>
  <c r="D44" i="7"/>
  <c r="E44" i="7" s="1"/>
  <c r="D45" i="7"/>
  <c r="E45" i="7"/>
  <c r="D46" i="7"/>
  <c r="E46" i="7"/>
  <c r="E47" i="7"/>
  <c r="D48" i="7"/>
  <c r="E48" i="7" s="1"/>
  <c r="D49" i="7"/>
  <c r="E49" i="7"/>
  <c r="D50" i="7"/>
  <c r="E50" i="7"/>
  <c r="D51" i="7"/>
  <c r="E51" i="7"/>
  <c r="D52" i="7"/>
  <c r="E52" i="7" s="1"/>
  <c r="D53" i="7"/>
  <c r="E53" i="7"/>
  <c r="D54" i="7"/>
  <c r="E54" i="7"/>
  <c r="D55" i="7"/>
  <c r="E55" i="7"/>
  <c r="D56" i="7"/>
  <c r="E56" i="7" s="1"/>
  <c r="D57" i="7"/>
  <c r="E57" i="7"/>
  <c r="D58" i="7"/>
  <c r="E58" i="7"/>
  <c r="D59" i="7"/>
  <c r="E59" i="7"/>
  <c r="D60" i="7"/>
  <c r="E60" i="7" s="1"/>
  <c r="D61" i="7"/>
  <c r="E61" i="7"/>
  <c r="D62" i="7"/>
  <c r="E62" i="7"/>
  <c r="D63" i="7"/>
  <c r="E63" i="7"/>
  <c r="D64" i="7"/>
  <c r="E64" i="7" s="1"/>
  <c r="D65" i="7"/>
  <c r="E65" i="7"/>
  <c r="D66" i="7"/>
  <c r="E66" i="7"/>
  <c r="D67" i="7"/>
  <c r="E67" i="7"/>
  <c r="D68" i="7"/>
  <c r="E68" i="7" s="1"/>
  <c r="D69" i="7"/>
  <c r="E69" i="7"/>
  <c r="D70" i="7"/>
  <c r="E70" i="7"/>
  <c r="D71" i="7"/>
  <c r="E71" i="7"/>
  <c r="D72" i="7"/>
  <c r="E72" i="7" s="1"/>
  <c r="D73" i="7"/>
  <c r="E73" i="7"/>
  <c r="D74" i="7"/>
  <c r="E74" i="7"/>
  <c r="D75" i="7"/>
  <c r="E75" i="7"/>
  <c r="D76" i="7"/>
  <c r="E76" i="7" s="1"/>
  <c r="D77" i="7"/>
  <c r="E77" i="7"/>
  <c r="D78" i="7"/>
  <c r="E78" i="7"/>
  <c r="D79" i="7"/>
  <c r="E79" i="7"/>
  <c r="D80" i="7"/>
  <c r="E80" i="7" s="1"/>
  <c r="D81" i="7"/>
  <c r="E81" i="7"/>
  <c r="D82" i="7"/>
  <c r="E82" i="7"/>
  <c r="D83" i="7"/>
  <c r="E83" i="7"/>
  <c r="D84" i="7"/>
  <c r="E84" i="7" s="1"/>
  <c r="D85" i="7"/>
  <c r="E85" i="7"/>
  <c r="D86" i="7"/>
  <c r="E86" i="7"/>
  <c r="D87" i="7"/>
  <c r="E87" i="7"/>
  <c r="D88" i="7"/>
  <c r="E88" i="7" s="1"/>
  <c r="D89" i="7"/>
  <c r="E89" i="7"/>
  <c r="D90" i="7"/>
  <c r="E90" i="7"/>
  <c r="D91" i="7"/>
  <c r="E91" i="7"/>
  <c r="D92" i="7"/>
  <c r="E92" i="7" s="1"/>
  <c r="D93" i="7"/>
  <c r="E93" i="7"/>
  <c r="E94" i="7"/>
  <c r="E95" i="7"/>
  <c r="E96" i="7"/>
  <c r="D97" i="7"/>
  <c r="E97" i="7"/>
  <c r="D98" i="7"/>
  <c r="E98" i="7"/>
  <c r="D99" i="7"/>
  <c r="E99" i="7"/>
  <c r="D100" i="7"/>
  <c r="E100" i="7" s="1"/>
  <c r="D101" i="7"/>
  <c r="E101" i="7"/>
  <c r="D102" i="7"/>
  <c r="E102" i="7"/>
  <c r="D103" i="7"/>
  <c r="E103" i="7"/>
  <c r="D104" i="7"/>
  <c r="E104" i="7" s="1"/>
  <c r="D105" i="7"/>
  <c r="E105" i="7"/>
  <c r="D106" i="7"/>
  <c r="E106" i="7"/>
  <c r="D107" i="7"/>
  <c r="E107" i="7"/>
  <c r="E108" i="7"/>
  <c r="D109" i="7"/>
  <c r="E109" i="7"/>
  <c r="D110" i="7"/>
  <c r="E110" i="7"/>
  <c r="D111" i="7"/>
  <c r="E111" i="7"/>
  <c r="D112" i="7"/>
  <c r="E112" i="7" s="1"/>
  <c r="D113" i="7"/>
  <c r="E113" i="7"/>
  <c r="E114" i="7"/>
  <c r="D115" i="7"/>
  <c r="E115" i="7"/>
  <c r="E116" i="7"/>
  <c r="D117" i="7"/>
  <c r="E117" i="7"/>
  <c r="D118" i="7"/>
  <c r="E118" i="7"/>
  <c r="D119" i="7"/>
  <c r="E119" i="7"/>
  <c r="D120" i="7"/>
  <c r="E120" i="7" s="1"/>
  <c r="D121" i="7"/>
  <c r="E121" i="7"/>
  <c r="D122" i="7"/>
  <c r="E122" i="7"/>
  <c r="D123" i="7"/>
  <c r="E123" i="7"/>
  <c r="D124" i="7"/>
  <c r="E124" i="7" s="1"/>
  <c r="D125" i="7"/>
  <c r="E125" i="7"/>
  <c r="D126" i="7"/>
  <c r="E126" i="7"/>
  <c r="D127" i="7"/>
  <c r="E127" i="7"/>
  <c r="D128" i="7"/>
  <c r="E128" i="7" s="1"/>
  <c r="D129" i="7"/>
  <c r="E129" i="7"/>
  <c r="D130" i="7"/>
  <c r="E130" i="7"/>
  <c r="D131" i="7"/>
  <c r="E131" i="7"/>
  <c r="D132" i="7"/>
  <c r="E132" i="7" s="1"/>
  <c r="D133" i="7"/>
  <c r="E133" i="7"/>
  <c r="E134" i="7"/>
  <c r="D135" i="7"/>
  <c r="E135" i="7"/>
  <c r="D136" i="7"/>
  <c r="E136" i="7" s="1"/>
  <c r="D2" i="7"/>
  <c r="E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H114" i="7" l="1"/>
  <c r="G18" i="7"/>
  <c r="H2" i="7"/>
</calcChain>
</file>

<file path=xl/sharedStrings.xml><?xml version="1.0" encoding="utf-8"?>
<sst xmlns="http://schemas.openxmlformats.org/spreadsheetml/2006/main" count="3123" uniqueCount="278">
  <si>
    <t>105-TTC01F80POR</t>
  </si>
  <si>
    <t>88-TTC04F60POR</t>
  </si>
  <si>
    <t>68-TTC04F40POC</t>
  </si>
  <si>
    <t>108-TTC04F80POR</t>
  </si>
  <si>
    <t>106-TTC02F80POR</t>
  </si>
  <si>
    <t>70-TTC05F40POR</t>
  </si>
  <si>
    <t>49-OTC04F12POR</t>
  </si>
  <si>
    <t>44-OBC04F09POR</t>
  </si>
  <si>
    <t>87-TTC03F60POR</t>
  </si>
  <si>
    <t>69-TTC05F40POC</t>
  </si>
  <si>
    <t>120-OBC02F80POR</t>
  </si>
  <si>
    <t>43-OBC03F09POR</t>
  </si>
  <si>
    <t>82-OBC02F60POR</t>
  </si>
  <si>
    <t>86-TTC01F60POR</t>
  </si>
  <si>
    <t>89-TTC05F60POR</t>
  </si>
  <si>
    <t>84-OBC04F60POR</t>
  </si>
  <si>
    <t>107-TTC03F80POR</t>
  </si>
  <si>
    <t>109-TTC05F80POR</t>
  </si>
  <si>
    <t>42-OBC02F11POR</t>
  </si>
  <si>
    <t>67-TTC03F41POC</t>
  </si>
  <si>
    <t>121-OBC03F80POR</t>
  </si>
  <si>
    <t>85-OBC05F60POR</t>
  </si>
  <si>
    <t>50-OTC05F12POR</t>
  </si>
  <si>
    <t>83-OBC03F60POR</t>
  </si>
  <si>
    <t>45-OBC05F03POR</t>
  </si>
  <si>
    <t>76-OBC05F40POR</t>
  </si>
  <si>
    <t>122-OBC04F80POR</t>
  </si>
  <si>
    <t>71-TTC04F40POR</t>
  </si>
  <si>
    <t>48-OTC03F12POR</t>
  </si>
  <si>
    <t>41-OBC01F11POR</t>
  </si>
  <si>
    <t>72-TTC03F40POR</t>
  </si>
  <si>
    <t>123-OBC05F80POR</t>
  </si>
  <si>
    <t>46-OTC01F12POR</t>
  </si>
  <si>
    <t>47-OTC02F02POR</t>
  </si>
  <si>
    <t>95-OTC01F60POC</t>
  </si>
  <si>
    <t>57-OBC02F41POC</t>
  </si>
  <si>
    <t>97-OTC03F60POC</t>
  </si>
  <si>
    <t>74-OBC03F40POR</t>
  </si>
  <si>
    <t>102-TBC03F60POC</t>
  </si>
  <si>
    <t>51-OTC01F41POC</t>
  </si>
  <si>
    <t>78-OBC02F60POC</t>
  </si>
  <si>
    <t>115-OBC01F80POC</t>
  </si>
  <si>
    <t>93-TTC04F60POC</t>
  </si>
  <si>
    <t>98-OTC04F60POC</t>
  </si>
  <si>
    <t>113-TTC04F80POC</t>
  </si>
  <si>
    <t>54-OTC04F41POC</t>
  </si>
  <si>
    <t>79-OBC03F60POC</t>
  </si>
  <si>
    <t>59-OBC04F41POC</t>
  </si>
  <si>
    <t>91-TTC02F60POC</t>
  </si>
  <si>
    <t>61-TBC02F40POC</t>
  </si>
  <si>
    <t>64-TBC04F41POC</t>
  </si>
  <si>
    <t>73-OBC02F40POR</t>
  </si>
  <si>
    <t>63-TBC03F41POC</t>
  </si>
  <si>
    <t>117-OBC03F80POC</t>
  </si>
  <si>
    <t>119-OBC05F80POC</t>
  </si>
  <si>
    <t>132-TBC04F80POC</t>
  </si>
  <si>
    <t>103-TBC04F60POC</t>
  </si>
  <si>
    <t>101-TBC02F60POC</t>
  </si>
  <si>
    <t>112-TTC03F80POC</t>
  </si>
  <si>
    <t>62-TBC02F41POC</t>
  </si>
  <si>
    <t>96-OTC02F60POC</t>
  </si>
  <si>
    <t>66-TTC02F40POC</t>
  </si>
  <si>
    <t>114-TTC05F80POC</t>
  </si>
  <si>
    <t>110-TTC01F80POC</t>
  </si>
  <si>
    <t>100-TBC01F60POC</t>
  </si>
  <si>
    <t>104-TBC05F60POC</t>
  </si>
  <si>
    <t>94-TTC05F60POC</t>
  </si>
  <si>
    <t>90-TTC01F60POC</t>
  </si>
  <si>
    <t>80-OBC04F60POC</t>
  </si>
  <si>
    <t>65-TTC01F40POC</t>
  </si>
  <si>
    <t>52-OTC02F41POC</t>
  </si>
  <si>
    <t>75-OBC04F40POR</t>
  </si>
  <si>
    <t>133-TBC05F80POC</t>
  </si>
  <si>
    <t>126-OTC03F80POC</t>
  </si>
  <si>
    <t>124-OTC01F80POC</t>
  </si>
  <si>
    <t>129-TBC01F80POC</t>
  </si>
  <si>
    <t>128-OTC05F80POC</t>
  </si>
  <si>
    <t>127-OTC04F80POC</t>
  </si>
  <si>
    <t>130-TBC02F80POC</t>
  </si>
  <si>
    <t>77-OBC01F60POC</t>
  </si>
  <si>
    <t>55-OTC05F41POC</t>
  </si>
  <si>
    <t>118-OBC04F80POC</t>
  </si>
  <si>
    <t>99-OTC05F60POC</t>
  </si>
  <si>
    <t>58-OBC03F40POC</t>
  </si>
  <si>
    <t>53-OTC03F41POC</t>
  </si>
  <si>
    <t>131-TBC03F80POC</t>
  </si>
  <si>
    <t>56-OBC01F40POC</t>
  </si>
  <si>
    <t>111-TTC02F80POC</t>
  </si>
  <si>
    <t>92-TTC03F60POC</t>
  </si>
  <si>
    <t>81-OBC05F60POC</t>
  </si>
  <si>
    <t>116-OBC02F80POC</t>
  </si>
  <si>
    <t>125-OTC02F80POC</t>
  </si>
  <si>
    <t>9-OGC04F00POC</t>
  </si>
  <si>
    <t>8-OGC03F00POC</t>
  </si>
  <si>
    <t>7-OGC02F00POC</t>
  </si>
  <si>
    <t>6-OGC01F00POC</t>
  </si>
  <si>
    <t>5-TGC05F00POC</t>
  </si>
  <si>
    <t>40-TTC05F04POR</t>
  </si>
  <si>
    <t>4-TGC04F00POC</t>
  </si>
  <si>
    <t>39-TTC04F02POR</t>
  </si>
  <si>
    <t>38-TTC03F12POR</t>
  </si>
  <si>
    <t>37-TTC02F08POR</t>
  </si>
  <si>
    <t>36-TTC01F12POR</t>
  </si>
  <si>
    <t>35-TBC05F11POR</t>
  </si>
  <si>
    <t>34-TBC04F11POR</t>
  </si>
  <si>
    <t>33-TBC03F11POR</t>
  </si>
  <si>
    <t>32-TBC02F11POR</t>
  </si>
  <si>
    <t>31-TBC01F11POR</t>
  </si>
  <si>
    <t>30-OGC05F00POR</t>
  </si>
  <si>
    <t>3-TGC03F00POC</t>
  </si>
  <si>
    <t>29-OGC04F00POR</t>
  </si>
  <si>
    <t>28-OGC03F00POR</t>
  </si>
  <si>
    <t>27-OGC02F00POR</t>
  </si>
  <si>
    <t>26-OGC01F00POR</t>
  </si>
  <si>
    <t>25-TGC05F00POR</t>
  </si>
  <si>
    <t>24-TGC04F00POR</t>
  </si>
  <si>
    <t>23-TGC03F00POR</t>
  </si>
  <si>
    <t>22-TGC02F00POR</t>
  </si>
  <si>
    <t>21-TGC01F00POR</t>
  </si>
  <si>
    <t>2-TGC02F00POC</t>
  </si>
  <si>
    <t>10-OGC05F00POC</t>
  </si>
  <si>
    <t>1-TGC01F00POC</t>
  </si>
  <si>
    <t>pocillopora</t>
  </si>
  <si>
    <t>porites</t>
  </si>
  <si>
    <t>Clade</t>
  </si>
  <si>
    <t>A</t>
  </si>
  <si>
    <t>C</t>
  </si>
  <si>
    <t>D</t>
  </si>
  <si>
    <t>F</t>
  </si>
  <si>
    <t>G</t>
  </si>
  <si>
    <t>A5</t>
  </si>
  <si>
    <t>A1fi</t>
  </si>
  <si>
    <t>A1er</t>
  </si>
  <si>
    <t>A1pp</t>
  </si>
  <si>
    <t>A4at</t>
  </si>
  <si>
    <t>A5a</t>
  </si>
  <si>
    <t>A2x</t>
  </si>
  <si>
    <t>A2ag</t>
  </si>
  <si>
    <t>A16e</t>
  </si>
  <si>
    <t>A1</t>
  </si>
  <si>
    <t>A2p</t>
  </si>
  <si>
    <t>C15</t>
  </si>
  <si>
    <t>C1/C1d</t>
  </si>
  <si>
    <t>C1</t>
  </si>
  <si>
    <t>C1/C42.2</t>
  </si>
  <si>
    <t>C42g/C42.2/C1</t>
  </si>
  <si>
    <t>C93a</t>
  </si>
  <si>
    <t>C42.2</t>
  </si>
  <si>
    <t>C1d</t>
  </si>
  <si>
    <t>C116</t>
  </si>
  <si>
    <t>C15h</t>
  </si>
  <si>
    <t>D6</t>
  </si>
  <si>
    <t>F3as</t>
  </si>
  <si>
    <t>G4b</t>
  </si>
  <si>
    <t>G3x</t>
  </si>
  <si>
    <t>Associated species</t>
  </si>
  <si>
    <t>None</t>
  </si>
  <si>
    <t>A5-A3eo-A5ao</t>
  </si>
  <si>
    <t>A1fi-A1-A1nh-A1po</t>
  </si>
  <si>
    <t>A1fi-A1-A1po</t>
  </si>
  <si>
    <t>A1-A1bw-A1bf-A1bx-A1eb</t>
  </si>
  <si>
    <t>A1/A3</t>
  </si>
  <si>
    <t>C15-C15rz-C15eh-C15sa</t>
  </si>
  <si>
    <t>C1d/C1/C42.2/C3-C1b-C3cg-C115k-C45c-C1au-C41p</t>
  </si>
  <si>
    <t>C1/C42.2/C42g/C42a-C1b-C1au-C1az-C3-C42h</t>
  </si>
  <si>
    <t>C15-C15rz-C15sa-C15m</t>
  </si>
  <si>
    <t>C42.2/C1/C1au/C41p-C1b-C3-C1az-C115k-C115d</t>
  </si>
  <si>
    <t>C42.2/C1/C42a/C1b-C1au-C1az-C3-C115d-C42az-C41p</t>
  </si>
  <si>
    <t>C15-C15eh-C15rz-C15zp</t>
  </si>
  <si>
    <t>C42g/C1/C42.2/C42a/C42b-C42h-C1b-C1ew-C42br-C1au</t>
  </si>
  <si>
    <t>C15-C15rz-C15zo-C15sa</t>
  </si>
  <si>
    <t>C1/C15/C3u/C3-C42.2-C1b</t>
  </si>
  <si>
    <t>C1d/C1-C42.2-C1b-C3cg-C1au-C115k-C3-C41p</t>
  </si>
  <si>
    <t>C1d-C42.2-C1-C1b-C3cw-C3cg</t>
  </si>
  <si>
    <t>C15/C1d</t>
  </si>
  <si>
    <t>C116/C1-C116l-C93b-C1b-C3cx</t>
  </si>
  <si>
    <t>C15h-C116-C15</t>
  </si>
  <si>
    <t>C1d/C1/C42g-C42.2-C1b-C42a</t>
  </si>
  <si>
    <t>C116/C42.2-C1-C116af-C116ag</t>
  </si>
  <si>
    <t>C1/C93a</t>
  </si>
  <si>
    <t>C1d/C42.2/C1/C3cg-C1b-C3cw-C115k-C45c</t>
  </si>
  <si>
    <t>D1/D6</t>
  </si>
  <si>
    <t>F3as-F3x-F3.1-F3ag-F3aw-F3av-F3ax</t>
  </si>
  <si>
    <t>G3x-G3z-G3aa-G3ab-G3ax</t>
  </si>
  <si>
    <t>62750-618225-484901</t>
  </si>
  <si>
    <t>3964-883-759005-1392391</t>
  </si>
  <si>
    <t>3964-883-1392391</t>
  </si>
  <si>
    <t>883-968-914-976-1888</t>
  </si>
  <si>
    <t>883-22385</t>
  </si>
  <si>
    <t>517-21555-21556-8371</t>
  </si>
  <si>
    <t>2/106-1-4-108-5-32-20-118-117</t>
  </si>
  <si>
    <t>2-1-4-20-211-214-32-212-82</t>
  </si>
  <si>
    <t>517-21555-8371-583</t>
  </si>
  <si>
    <t>2/1-4-20-214-32-5-118-358</t>
  </si>
  <si>
    <t>2/1-4-20-214-32-223-118-82-358</t>
  </si>
  <si>
    <t>517-21555-21556-21566</t>
  </si>
  <si>
    <t>211/1/2-212-82-4-213-20-93-83</t>
  </si>
  <si>
    <t>517-21555-21564-8371</t>
  </si>
  <si>
    <t>517-2-1-4-1330-32</t>
  </si>
  <si>
    <t>2-1-4-106-20-32-108-5-118</t>
  </si>
  <si>
    <t>106-1-2-4-112-108</t>
  </si>
  <si>
    <t>517-106</t>
  </si>
  <si>
    <t>632-2-2834-1944-2709-4</t>
  </si>
  <si>
    <t>1584-632-517</t>
  </si>
  <si>
    <t>106-1-2-4-211-82</t>
  </si>
  <si>
    <t>632-32961-32963-2-1</t>
  </si>
  <si>
    <t>869-2</t>
  </si>
  <si>
    <t>2-1-106-4-108-112-5-117</t>
  </si>
  <si>
    <t>933-853</t>
  </si>
  <si>
    <t>593677-593687-62706-3171397-3171395-73536-3171404</t>
  </si>
  <si>
    <t>33731-70914-73447-439621-73644</t>
  </si>
  <si>
    <t>0.821[0.020]-0.121[0.014]-0.058[0.013]</t>
  </si>
  <si>
    <t>0.713[0.047]-0.200[0.051]-0.044[0.009]-0.043[0.014]</t>
  </si>
  <si>
    <t>1.000[0.000]</t>
  </si>
  <si>
    <t>0.612[0.008]-0.324[0.008]-0.065[0.015]</t>
  </si>
  <si>
    <t>1.000[nan]</t>
  </si>
  <si>
    <t>0.876[nan]-0.057[nan]-0.033[nan]-0.021[nan]-0.012[nan]</t>
  </si>
  <si>
    <t>0.688[nan]-0.312[nan]</t>
  </si>
  <si>
    <t>0.872[0.028]-0.052[0.016]-0.039[0.007]-0.038[0.015]</t>
  </si>
  <si>
    <t>0.418[0.101]-0.231[0.049]/0.106[0.080]-0.072[0.032]-0.057[0.030]-0.036[0.012]-0.032[0.015]-0.021[0.009]-0.014[0.003]-0.013[0.005]</t>
  </si>
  <si>
    <t>0.339[0.038]-0.260[0.022]-0.133[0.028]-0.061[0.008]-0.053[0.027]-0.051[0.011]-0.047[0.008]-0.034[0.010]-0.022[0.005]</t>
  </si>
  <si>
    <t>0.881[0.019]-0.053[0.008]-0.035[0.015]-0.032[0.004]</t>
  </si>
  <si>
    <t>0.394[0.067]/0.268[0.049]-0.095[0.043]-0.061[0.011]-0.057[0.012]-0.054[0.009]-0.029[0.008]-0.022[0.003]-0.020[0.005]</t>
  </si>
  <si>
    <t>0.356[0.049]/0.295[0.028]-0.100[0.029]-0.067[0.008]-0.052[0.014]-0.041[0.006]-0.035[0.018]-0.021[0.006]-0.017[0.004]-0.016[0.004]</t>
  </si>
  <si>
    <t>0.887[0.014]-0.041[0.011]-0.038[0.008]-0.034[0.008]</t>
  </si>
  <si>
    <t>0.216[0.075]/0.204[0.077]/0.199[0.030]-0.090[0.018]-0.080[0.036]-0.072[0.012]-0.038[0.006]-0.037[0.008]-0.036[0.009]-0.028[0.009]</t>
  </si>
  <si>
    <t>0.859[0.030]-0.054[0.014]-0.044[0.005]-0.043[0.014]</t>
  </si>
  <si>
    <t>0.362[0.038]-0.297[0.021]-0.169[0.009]-0.089[0.070]-0.047[0.001]-0.036[0.003]</t>
  </si>
  <si>
    <t>0.379[nan]-0.297[nan]-0.092[nan]-0.091[nan]-0.041[nan]-0.039[nan]-0.025[nan]-0.021[nan]-0.015[nan]</t>
  </si>
  <si>
    <t>0.400[nan]-0.308[nan]-0.202[nan]-0.044[nan]-0.031[nan]-0.014[nan]</t>
  </si>
  <si>
    <t>0.506[nan]-0.494[nan]</t>
  </si>
  <si>
    <t>0.448[nan]-0.243[nan]-0.143[nan]-0.078[nan]-0.051[nan]-0.037[nan]</t>
  </si>
  <si>
    <t>0.651[nan]-0.272[nan]-0.077[nan]</t>
  </si>
  <si>
    <t>0.543[nan]-0.241[nan]-0.131[nan]-0.043[nan]-0.022[nan]-0.019[nan]</t>
  </si>
  <si>
    <t>0.448[nan]-0.248[nan]-0.227[nan]-0.052[nan]-0.025[nan]</t>
  </si>
  <si>
    <t>0.750[nan]-0.250[nan]</t>
  </si>
  <si>
    <t>0.391[nan]-0.245[nan]-0.102[nan]-0.093[nan]-0.079[nan]-0.042[nan]-0.034[nan]-0.014[nan]</t>
  </si>
  <si>
    <t>0.534[nan]-0.466[nan]</t>
  </si>
  <si>
    <t>0.254[0.016]-0.205[0.019]-0.140[0.014]-0.136[0.026]-0.113[0.002]-0.087[0.015]-0.065[0.000]</t>
  </si>
  <si>
    <t>0.765[nan]-0.077[nan]-0.069[nan]-0.066[nan]-0.023[nan]</t>
  </si>
  <si>
    <t>SymPortal_ID</t>
  </si>
  <si>
    <t>Sample_ID</t>
  </si>
  <si>
    <t>Sample_No</t>
  </si>
  <si>
    <t>Host_Genus</t>
  </si>
  <si>
    <t>Host_Species</t>
  </si>
  <si>
    <t>Origin_Site</t>
  </si>
  <si>
    <t>Transplant_Type</t>
  </si>
  <si>
    <t>Stress_Treatment</t>
  </si>
  <si>
    <t>Full_ID</t>
  </si>
  <si>
    <t>sample</t>
  </si>
  <si>
    <t>Genotype</t>
  </si>
  <si>
    <t>2 Wk</t>
  </si>
  <si>
    <t>Post HS</t>
  </si>
  <si>
    <t>Pre HS</t>
  </si>
  <si>
    <t>Genotype2</t>
  </si>
  <si>
    <t>ITS2_type_profile_UID</t>
  </si>
  <si>
    <t>Majority_ITS2_sequence</t>
  </si>
  <si>
    <t>Associated_species</t>
  </si>
  <si>
    <t>ITS2_profile_abundance_local</t>
  </si>
  <si>
    <t>ITS2_profile_abundance_DB</t>
  </si>
  <si>
    <t>ITS2_type_profile</t>
  </si>
  <si>
    <t>Sequence_accession_/_SymPortal_UID</t>
  </si>
  <si>
    <t>Average_defining_sequence_proportions_and_[stdev]</t>
  </si>
  <si>
    <t>4 Mo</t>
  </si>
  <si>
    <t>Unknown</t>
  </si>
  <si>
    <t>160-OBC03F00POR_2_2</t>
  </si>
  <si>
    <t>14-TGC04F00POC_2</t>
  </si>
  <si>
    <t>13-TGC03F00POC_2</t>
  </si>
  <si>
    <t>11-TGC01F00POC_2</t>
  </si>
  <si>
    <t>12-TGC02F00POC_2</t>
  </si>
  <si>
    <t>15-TGC05F00POC_2</t>
  </si>
  <si>
    <t>18-OGC03F00POC_2</t>
  </si>
  <si>
    <t>16-OGC01F00POC_2</t>
  </si>
  <si>
    <t>19-OGC04F00POC_2</t>
  </si>
  <si>
    <t>17-OGC02F00POC_2</t>
  </si>
  <si>
    <t>159-OBC03F40POR_2</t>
  </si>
  <si>
    <t>158-OBC03F60POR_2</t>
  </si>
  <si>
    <t>20-OGC05F00POC_2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</si>
</sst>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Protection="1">
      <protection locked="0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E47-A09C-41C1-9C87-1D1100160102}">
  <dimension ref="A1:AO136"/>
  <sheetViews>
    <sheetView topLeftCell="P1" workbookViewId="0">
      <selection activeCell="E140" sqref="E140"/>
    </sheetView>
  </sheetViews>
  <sheetFormatPr defaultRowHeight="14.5"/>
  <cols>
    <col min="1" max="1" width="10.453125" bestFit="1" customWidth="1"/>
  </cols>
  <sheetData>
    <row r="1" spans="1:41">
      <c r="A1" t="s">
        <v>249</v>
      </c>
      <c r="B1">
        <v>1144231</v>
      </c>
      <c r="C1">
        <v>1144230</v>
      </c>
      <c r="D1">
        <v>1144351</v>
      </c>
      <c r="E1">
        <v>1144507</v>
      </c>
      <c r="F1">
        <v>1144354</v>
      </c>
      <c r="G1">
        <v>1144389</v>
      </c>
      <c r="H1">
        <v>1144327</v>
      </c>
      <c r="I1">
        <v>1144232</v>
      </c>
      <c r="J1">
        <v>1144443</v>
      </c>
      <c r="K1">
        <v>1144488</v>
      </c>
      <c r="L1">
        <v>1149747</v>
      </c>
      <c r="M1">
        <v>1144378</v>
      </c>
      <c r="N1">
        <v>1143779</v>
      </c>
      <c r="O1">
        <v>1144036</v>
      </c>
      <c r="P1">
        <v>1144431</v>
      </c>
      <c r="Q1">
        <v>1147758</v>
      </c>
      <c r="R1">
        <v>1145600</v>
      </c>
      <c r="S1">
        <v>1145992</v>
      </c>
      <c r="T1">
        <v>1147759</v>
      </c>
      <c r="U1">
        <v>1145885</v>
      </c>
      <c r="V1">
        <v>1146665</v>
      </c>
      <c r="W1">
        <v>1147762</v>
      </c>
      <c r="X1">
        <v>1147553</v>
      </c>
      <c r="Y1">
        <v>1147760</v>
      </c>
      <c r="Z1">
        <v>1147751</v>
      </c>
      <c r="AA1">
        <v>1148159</v>
      </c>
      <c r="AB1">
        <v>1148050</v>
      </c>
      <c r="AC1">
        <v>1147163</v>
      </c>
      <c r="AD1">
        <v>1145507</v>
      </c>
      <c r="AE1">
        <v>1147561</v>
      </c>
      <c r="AF1">
        <v>1147825</v>
      </c>
      <c r="AG1">
        <v>1149782</v>
      </c>
      <c r="AH1">
        <v>1147228</v>
      </c>
      <c r="AI1">
        <v>1147868</v>
      </c>
      <c r="AJ1">
        <v>1147124</v>
      </c>
      <c r="AK1">
        <v>1145595</v>
      </c>
      <c r="AL1">
        <v>1148407</v>
      </c>
      <c r="AM1">
        <v>1149397</v>
      </c>
      <c r="AN1">
        <v>1149622</v>
      </c>
      <c r="AO1">
        <v>1149567</v>
      </c>
    </row>
    <row r="2" spans="1:41">
      <c r="A2">
        <v>213259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43968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213374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31507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>
        <v>213302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4006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>
        <v>213352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70413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213262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53810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>
        <v>213355</v>
      </c>
      <c r="B7">
        <v>391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52882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>
        <v>213332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57430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213309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3796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>
        <v>213305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>
        <v>213327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61739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>
        <v>213276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44851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>
        <v>213310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1803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>
        <v>213321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3467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213326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41158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>
        <v>213368</v>
      </c>
      <c r="B16">
        <v>994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</v>
      </c>
      <c r="P16">
        <v>0</v>
      </c>
      <c r="Q16">
        <v>39192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>
        <v>213372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59925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213296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43245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213370</v>
      </c>
      <c r="B19">
        <v>810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40472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213312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3172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213308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3086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>
        <v>213325</v>
      </c>
      <c r="B22">
        <v>592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58886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213277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47899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213369</v>
      </c>
      <c r="B24">
        <v>1430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65856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213328</v>
      </c>
      <c r="B25">
        <v>554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76554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>
        <v>213331</v>
      </c>
      <c r="B26">
        <v>0</v>
      </c>
      <c r="C26">
        <v>0</v>
      </c>
      <c r="D26">
        <v>0</v>
      </c>
      <c r="E26">
        <v>106</v>
      </c>
      <c r="F26">
        <v>289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64238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>
        <v>213324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32851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1618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213357</v>
      </c>
      <c r="B28">
        <v>7636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58564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213279</v>
      </c>
      <c r="B29">
        <v>0</v>
      </c>
      <c r="C29">
        <v>0</v>
      </c>
      <c r="D29">
        <v>0</v>
      </c>
      <c r="E29">
        <v>0</v>
      </c>
      <c r="F29">
        <v>0</v>
      </c>
      <c r="G29">
        <v>1078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40823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213329</v>
      </c>
      <c r="B30">
        <v>0</v>
      </c>
      <c r="C30">
        <v>0</v>
      </c>
      <c r="D30">
        <v>1016</v>
      </c>
      <c r="E30">
        <v>0</v>
      </c>
      <c r="F30">
        <v>348</v>
      </c>
      <c r="G30">
        <v>0</v>
      </c>
      <c r="H30">
        <v>369</v>
      </c>
      <c r="I30">
        <v>0</v>
      </c>
      <c r="J30">
        <v>183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50656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1390</v>
      </c>
      <c r="AN30">
        <v>0</v>
      </c>
      <c r="AO30">
        <v>0</v>
      </c>
    </row>
    <row r="31" spans="1:41">
      <c r="A31">
        <v>213348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43868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213358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69938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213347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45662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213272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37581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>
        <v>213274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21973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213289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27561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>
        <v>213291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2226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>
        <v>213257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44039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213286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1869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>
        <v>213264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2071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>
        <v>213255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56532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>
        <v>213275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1338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213267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292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48315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>
        <v>213300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1911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213252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1846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>
        <v>213311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1745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>
        <v>213292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1549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>
        <v>213322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1861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>
        <v>213346</v>
      </c>
      <c r="B49">
        <v>0</v>
      </c>
      <c r="C49">
        <v>19208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23909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>
        <v>213383</v>
      </c>
      <c r="B50">
        <v>0</v>
      </c>
      <c r="C50">
        <v>11014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13591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213350</v>
      </c>
      <c r="B51">
        <v>0</v>
      </c>
      <c r="C51">
        <v>22359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27011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>
        <v>213382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23166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213341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42598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213384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24130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213359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32104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>
        <v>213256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40904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>
        <v>213335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289</v>
      </c>
      <c r="N57">
        <v>0</v>
      </c>
      <c r="O57">
        <v>0</v>
      </c>
      <c r="P57">
        <v>0</v>
      </c>
      <c r="Q57">
        <v>0</v>
      </c>
      <c r="R57">
        <v>0</v>
      </c>
      <c r="S57">
        <v>51543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213363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38051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213270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37218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>
        <v>213380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50448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>
        <v>213385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28726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>
        <v>213268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19171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745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213338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52289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>
        <v>213364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51199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>
        <v>213343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43872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>
        <v>213378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38728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>
        <v>213345</v>
      </c>
      <c r="B67">
        <v>0</v>
      </c>
      <c r="C67">
        <v>0</v>
      </c>
      <c r="D67">
        <v>43</v>
      </c>
      <c r="E67">
        <v>182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42388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>
        <v>213303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3469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213260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56855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>
        <v>213373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21026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>
        <v>213375</v>
      </c>
      <c r="B71">
        <v>604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35359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>
        <v>213353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47851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>
        <v>213320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4150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213315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3628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213306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3548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>
        <v>213319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4409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>
        <v>213314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3899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213263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53486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213261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62213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>
        <v>213304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4445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>
        <v>213317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3704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>
        <v>213351</v>
      </c>
      <c r="B82">
        <v>1043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56901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639</v>
      </c>
    </row>
    <row r="83" spans="1:41">
      <c r="A83">
        <v>213323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4440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>
        <v>213339</v>
      </c>
      <c r="B84">
        <v>0</v>
      </c>
      <c r="C84">
        <v>0</v>
      </c>
      <c r="D84">
        <v>818</v>
      </c>
      <c r="E84">
        <v>310</v>
      </c>
      <c r="F84">
        <v>0</v>
      </c>
      <c r="G84">
        <v>336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65807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>
        <v>213273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19437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>
        <v>213386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52305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>
        <v>213342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42814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>
        <v>213337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316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43764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213344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1349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>
        <v>213288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24540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>
        <v>213333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1596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>
        <v>213340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331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47522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>
        <v>213354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1483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>
        <v>213298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1837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>
        <v>213295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1494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>
        <v>213299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1321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169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>
        <v>213269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17310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>
        <v>213265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47455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>
        <v>213254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37894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>
        <v>213258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21189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>
        <v>213381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38386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>
        <v>213377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29901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>
        <v>213366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52554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>
        <v>213349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40861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>
        <v>213336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31117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>
        <v>213360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43278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>
        <v>213365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2093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>
        <v>213297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1364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>
        <v>213290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15466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>
        <v>213313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4520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>
        <v>213307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3506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>
        <v>213316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3622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>
        <v>213318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4248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>
        <v>213294</v>
      </c>
      <c r="B114">
        <v>656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48675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>
        <v>213334</v>
      </c>
      <c r="B115">
        <v>233</v>
      </c>
      <c r="C115">
        <v>0</v>
      </c>
      <c r="D115">
        <v>0</v>
      </c>
      <c r="E115">
        <v>0</v>
      </c>
      <c r="F115">
        <v>20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66474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>
        <v>213293</v>
      </c>
      <c r="B116">
        <v>1025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47588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>
        <v>213356</v>
      </c>
      <c r="B117">
        <v>436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26400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>
        <v>213282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39599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246</v>
      </c>
      <c r="AO118">
        <v>0</v>
      </c>
    </row>
    <row r="119" spans="1:41">
      <c r="A119">
        <v>213280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32624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>
        <v>213285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30208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>
        <v>213284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36242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>
        <v>213283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42343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>
        <v>213287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37969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>
        <v>213362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44158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>
        <v>213266</v>
      </c>
      <c r="B125">
        <v>0</v>
      </c>
      <c r="C125">
        <v>18542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15115</v>
      </c>
      <c r="AL125">
        <v>0</v>
      </c>
      <c r="AM125">
        <v>0</v>
      </c>
      <c r="AN125">
        <v>0</v>
      </c>
      <c r="AO125">
        <v>0</v>
      </c>
    </row>
    <row r="126" spans="1:41">
      <c r="A126">
        <v>213278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45275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>
        <v>213371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36325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>
        <v>213361</v>
      </c>
      <c r="B128">
        <v>1209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48574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>
        <v>213330</v>
      </c>
      <c r="B129">
        <v>796</v>
      </c>
      <c r="C129">
        <v>0</v>
      </c>
      <c r="D129">
        <v>1808</v>
      </c>
      <c r="E129">
        <v>669</v>
      </c>
      <c r="F129">
        <v>0</v>
      </c>
      <c r="G129">
        <v>0</v>
      </c>
      <c r="H129">
        <v>641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49705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118</v>
      </c>
      <c r="AM129">
        <v>1184</v>
      </c>
      <c r="AN129">
        <v>0</v>
      </c>
      <c r="AO129">
        <v>0</v>
      </c>
    </row>
    <row r="130" spans="1:41">
      <c r="A130">
        <v>213271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13135</v>
      </c>
      <c r="AA130">
        <v>1248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>
        <v>213376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1324</v>
      </c>
      <c r="AA131">
        <v>193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>
        <v>213379</v>
      </c>
      <c r="B132">
        <v>0</v>
      </c>
      <c r="C132">
        <v>542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59</v>
      </c>
      <c r="L132">
        <v>0</v>
      </c>
      <c r="M132">
        <v>0</v>
      </c>
      <c r="N132">
        <v>0</v>
      </c>
      <c r="O132">
        <v>0</v>
      </c>
      <c r="P132">
        <v>78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40524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>
        <v>213367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35352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>
        <v>213301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193</v>
      </c>
      <c r="AC134">
        <v>0</v>
      </c>
      <c r="AD134">
        <v>0</v>
      </c>
      <c r="AE134">
        <v>0</v>
      </c>
      <c r="AF134">
        <v>1287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>
        <v>213281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1025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30098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>
        <v>213253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2143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D88D-D610-40BA-BF2F-CF347FBC74D8}">
  <dimension ref="A1:AO136"/>
  <sheetViews>
    <sheetView topLeftCell="A126" workbookViewId="0">
      <selection activeCell="E143" sqref="E143"/>
    </sheetView>
  </sheetViews>
  <sheetFormatPr defaultRowHeight="14.5"/>
  <sheetData>
    <row r="1" spans="1:41">
      <c r="A1" t="s">
        <v>249</v>
      </c>
      <c r="B1">
        <v>1144231</v>
      </c>
      <c r="C1">
        <v>1144230</v>
      </c>
      <c r="D1">
        <v>1144351</v>
      </c>
      <c r="E1">
        <v>1144507</v>
      </c>
      <c r="F1">
        <v>1144354</v>
      </c>
      <c r="G1">
        <v>1144389</v>
      </c>
      <c r="H1">
        <v>1144327</v>
      </c>
      <c r="I1">
        <v>1144232</v>
      </c>
      <c r="J1">
        <v>1144443</v>
      </c>
      <c r="K1">
        <v>1144488</v>
      </c>
      <c r="L1">
        <v>1149747</v>
      </c>
      <c r="M1">
        <v>1144378</v>
      </c>
      <c r="N1">
        <v>1143779</v>
      </c>
      <c r="O1">
        <v>1144036</v>
      </c>
      <c r="P1">
        <v>1144431</v>
      </c>
      <c r="Q1">
        <v>1147758</v>
      </c>
      <c r="R1">
        <v>1145600</v>
      </c>
      <c r="S1">
        <v>1145992</v>
      </c>
      <c r="T1">
        <v>1147759</v>
      </c>
      <c r="U1">
        <v>1145885</v>
      </c>
      <c r="V1">
        <v>1146665</v>
      </c>
      <c r="W1">
        <v>1147762</v>
      </c>
      <c r="X1">
        <v>1147553</v>
      </c>
      <c r="Y1">
        <v>1147760</v>
      </c>
      <c r="Z1">
        <v>1147751</v>
      </c>
      <c r="AA1">
        <v>1148159</v>
      </c>
      <c r="AB1">
        <v>1148050</v>
      </c>
      <c r="AC1">
        <v>1147163</v>
      </c>
      <c r="AD1">
        <v>1145507</v>
      </c>
      <c r="AE1">
        <v>1147561</v>
      </c>
      <c r="AF1">
        <v>1147825</v>
      </c>
      <c r="AG1">
        <v>1149782</v>
      </c>
      <c r="AH1">
        <v>1147228</v>
      </c>
      <c r="AI1">
        <v>1147868</v>
      </c>
      <c r="AJ1">
        <v>1147124</v>
      </c>
      <c r="AK1">
        <v>1145595</v>
      </c>
      <c r="AL1">
        <v>1148407</v>
      </c>
      <c r="AM1">
        <v>1149397</v>
      </c>
      <c r="AN1">
        <v>1149622</v>
      </c>
      <c r="AO1">
        <v>1149567</v>
      </c>
    </row>
    <row r="2" spans="1:41">
      <c r="A2">
        <v>213259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0.89473148694572702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213374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0.88664696777824603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>
        <v>213302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0.88628318584070798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>
        <v>213352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0.88114277133310803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213262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0.87843022021973005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>
        <v>213355</v>
      </c>
      <c r="B7">
        <v>6.4646264239538297E-3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0.87432832366119395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>
        <v>213332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0.86498780010241805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213309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0.86469248291571699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>
        <v>213305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0.86445073078736401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>
        <v>213327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0.86444973396807601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>
        <v>213276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0.86310016357163399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>
        <v>213310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0.86144290492116504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>
        <v>213321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0.86136645962732905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213326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0.86122619794936095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>
        <v>213368</v>
      </c>
      <c r="B16">
        <v>2.1792510742786899E-2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3.50784881171621E-4</v>
      </c>
      <c r="P16">
        <v>0</v>
      </c>
      <c r="Q16">
        <v>0.85924756642988698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>
        <v>213372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0.85895506342721994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213296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0.85579434813583399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213370</v>
      </c>
      <c r="B19">
        <v>1.7051195688784101E-2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0.85197036039070295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213312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0.84654390178809702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213308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0.84501642935377796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>
        <v>213325</v>
      </c>
      <c r="B22">
        <v>8.4471269780117802E-3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0.84023229599189497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213277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0.82618669794397603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213369</v>
      </c>
      <c r="B24">
        <v>1.7526228061574601E-2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0.80713795470144101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213328</v>
      </c>
      <c r="B25">
        <v>5.8287566020663603E-3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0.80544157565810204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>
        <v>213331</v>
      </c>
      <c r="B26">
        <v>0</v>
      </c>
      <c r="C26">
        <v>0</v>
      </c>
      <c r="D26">
        <v>0</v>
      </c>
      <c r="E26">
        <v>1.30198737317906E-3</v>
      </c>
      <c r="F26">
        <v>3.5497580268749802E-3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0.78902891394600405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>
        <v>213324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0.770933070496573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3.7970524734816401E-2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213357</v>
      </c>
      <c r="B28">
        <v>9.8590094510148205E-2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0.75613283065640602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213279</v>
      </c>
      <c r="B29">
        <v>0</v>
      </c>
      <c r="C29">
        <v>0</v>
      </c>
      <c r="D29">
        <v>0</v>
      </c>
      <c r="E29">
        <v>0</v>
      </c>
      <c r="F29">
        <v>0</v>
      </c>
      <c r="G29">
        <v>1.98889319385251E-2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0.75317798564602101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213329</v>
      </c>
      <c r="B30">
        <v>0</v>
      </c>
      <c r="C30">
        <v>0</v>
      </c>
      <c r="D30">
        <v>1.505140588427E-2</v>
      </c>
      <c r="E30">
        <v>0</v>
      </c>
      <c r="F30">
        <v>5.15540280287991E-3</v>
      </c>
      <c r="G30">
        <v>0</v>
      </c>
      <c r="H30">
        <v>5.4665046961571498E-3</v>
      </c>
      <c r="I30">
        <v>0</v>
      </c>
      <c r="J30">
        <v>2.7110307842730498E-3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0.75043702408817503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2.0591982459778901E-2</v>
      </c>
      <c r="AN30">
        <v>0</v>
      </c>
      <c r="AO30">
        <v>0</v>
      </c>
    </row>
    <row r="31" spans="1:41">
      <c r="A31">
        <v>213348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0.89376961004033995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213358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0.88569474697330397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213347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0.88169302361505297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213272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0.82000872790748403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>
        <v>213274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0.81481069455260102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213289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0.81076072248043696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>
        <v>213291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0.80827886710239605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>
        <v>213257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0.805822400322043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213286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0.80249033920137403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>
        <v>213264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0.79745860608394303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>
        <v>213255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0.79579943129029496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>
        <v>213275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0.79359430604982195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213267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4.79183418940873E-3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0.79286804404548905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>
        <v>213300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0.78383921246923705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213252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0.78286683630194998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>
        <v>213311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0.77728285077950998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>
        <v>213292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0.77295409181636698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>
        <v>213322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0.71521906225980003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>
        <v>213346</v>
      </c>
      <c r="B49">
        <v>0</v>
      </c>
      <c r="C49">
        <v>0.38043176866706202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0.47353931471578498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>
        <v>213383</v>
      </c>
      <c r="B50">
        <v>0</v>
      </c>
      <c r="C50">
        <v>0.38156937467521201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0.47084704659622301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213350</v>
      </c>
      <c r="B51">
        <v>0</v>
      </c>
      <c r="C51">
        <v>0.37819049068858701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0.45687657515941799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>
        <v>213382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0.81596280511429597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213341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0.80797390083835896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213384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0.79789696448647496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213359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0.79599325597540405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>
        <v>213256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0.79119518752780504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>
        <v>213335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4.4350321501465499E-3</v>
      </c>
      <c r="N57">
        <v>0</v>
      </c>
      <c r="O57">
        <v>0</v>
      </c>
      <c r="P57">
        <v>0</v>
      </c>
      <c r="Q57">
        <v>0</v>
      </c>
      <c r="R57">
        <v>0</v>
      </c>
      <c r="S57">
        <v>0.79098568205883701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213363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0.78935795042008094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213270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0.78528927712368601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>
        <v>213380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0.78486526852946603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>
        <v>213385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0.78249026177439995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>
        <v>213268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0.78242592441433301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3.0405681168884102E-2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213338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0.76793949184902299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>
        <v>213364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0.75725843427844497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>
        <v>213343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0.75610092375568705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>
        <v>213378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0.75572727627522096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>
        <v>213345</v>
      </c>
      <c r="B67">
        <v>0</v>
      </c>
      <c r="C67">
        <v>0</v>
      </c>
      <c r="D67">
        <v>7.5532681058862699E-4</v>
      </c>
      <c r="E67">
        <v>3.1969646401658201E-3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0.74457657784257503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>
        <v>213303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0.88743924277308694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213260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0.88718108761800696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>
        <v>213373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0.87411657104847396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>
        <v>213375</v>
      </c>
      <c r="B71">
        <v>1.4912107446178101E-2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0.872975508591744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>
        <v>213353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0.87039799185098898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>
        <v>213320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0.868019242836226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213315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0.86711281070745605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213306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0.86642246642246601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>
        <v>213319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0.85962175862741197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>
        <v>213314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0.85805457746478797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213263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0.85171502277142497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213261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0.85142810220476495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>
        <v>213304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0.84893048128342197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>
        <v>213317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0.84779125658045296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>
        <v>213351</v>
      </c>
      <c r="B82">
        <v>1.55122923390395E-2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0.84627511637937403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9.5036958817317808E-3</v>
      </c>
    </row>
    <row r="83" spans="1:41">
      <c r="A83">
        <v>213323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0.84442753898820799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>
        <v>213339</v>
      </c>
      <c r="B84">
        <v>0</v>
      </c>
      <c r="C84">
        <v>0</v>
      </c>
      <c r="D84">
        <v>1.0306680442506801E-2</v>
      </c>
      <c r="E84">
        <v>3.9059546909255799E-3</v>
      </c>
      <c r="F84">
        <v>0</v>
      </c>
      <c r="G84">
        <v>4.2335508908096604E-3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0.82915858176045099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>
        <v>213273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0.82528023097825998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>
        <v>213386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0.81492272217374995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>
        <v>213342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0.80868103431992899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>
        <v>213337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5.7508917522020803E-3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0.79646210963092301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213344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0.79306290417401504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>
        <v>213288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0.79227739394330698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>
        <v>213333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0.78892733564013795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>
        <v>213340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5.4838549346410597E-3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0.787322520253814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>
        <v>213354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0.78052631578947296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>
        <v>213298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0.77314814814814803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>
        <v>213295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0.76030534351144996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>
        <v>213299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0.62311320754716903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7.9716981132075398E-2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>
        <v>213269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0.82022365428354804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>
        <v>213265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0.81802040957043298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>
        <v>213254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0.80952787865840603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>
        <v>213258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0.80821604302551697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>
        <v>213381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0.80559927805410303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>
        <v>213377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0.80424433147744601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>
        <v>213366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0.79840179873602302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>
        <v>213349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0.79661942175345501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>
        <v>213336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0.78885058054048496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>
        <v>213360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0.78124774351938697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>
        <v>213365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0.778356266269988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>
        <v>213297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0.75027502750274999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>
        <v>213290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0.72436888201957705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>
        <v>213313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0.86673058485138998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>
        <v>213307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0.85553928745729602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>
        <v>213316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0.83552479815455505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>
        <v>213318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0.831148503228331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>
        <v>213294</v>
      </c>
      <c r="B114">
        <v>1.1061461934069599E-2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0.820757103111036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>
        <v>213334</v>
      </c>
      <c r="B115">
        <v>2.87331516444488E-3</v>
      </c>
      <c r="C115">
        <v>0</v>
      </c>
      <c r="D115">
        <v>0</v>
      </c>
      <c r="E115">
        <v>0</v>
      </c>
      <c r="F115">
        <v>2.4663649480213498E-4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0.81974571777385896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>
        <v>213293</v>
      </c>
      <c r="B116">
        <v>1.7598077088161999E-2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0.81703150485020104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>
        <v>213356</v>
      </c>
      <c r="B117">
        <v>1.33562063472613E-2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0.80872442102683495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>
        <v>213282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0.85093261131167197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5.2862300154718897E-3</v>
      </c>
      <c r="AO118">
        <v>0</v>
      </c>
    </row>
    <row r="119" spans="1:41">
      <c r="A119">
        <v>213280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0.83642703312480704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>
        <v>213285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0.831397589035063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>
        <v>213284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3.5361156782810401E-3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0.81627964593797098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>
        <v>213283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0.80923076923076898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>
        <v>213287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0.80361073484591905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>
        <v>213362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0.78327657159074704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>
        <v>213266</v>
      </c>
      <c r="B125">
        <v>0</v>
      </c>
      <c r="C125">
        <v>0.46764186633039001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0.38121059268600199</v>
      </c>
      <c r="AL125">
        <v>0</v>
      </c>
      <c r="AM125">
        <v>0</v>
      </c>
      <c r="AN125">
        <v>0</v>
      </c>
      <c r="AO125">
        <v>0</v>
      </c>
    </row>
    <row r="126" spans="1:41">
      <c r="A126">
        <v>213278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0.81987251457752297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>
        <v>213371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0.81752301217563506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>
        <v>213361</v>
      </c>
      <c r="B128">
        <v>2.0092067870972001E-2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0.80723912718328805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>
        <v>213330</v>
      </c>
      <c r="B129">
        <v>1.13158194017968E-2</v>
      </c>
      <c r="C129">
        <v>0</v>
      </c>
      <c r="D129">
        <v>2.5702263163880301E-2</v>
      </c>
      <c r="E129">
        <v>9.5104060047765202E-3</v>
      </c>
      <c r="F129">
        <v>0</v>
      </c>
      <c r="G129">
        <v>0</v>
      </c>
      <c r="H129">
        <v>9.1123621062208504E-3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0.706598999203912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1.67747071534174E-3</v>
      </c>
      <c r="AM129">
        <v>1.68315705674968E-2</v>
      </c>
      <c r="AN129">
        <v>0</v>
      </c>
      <c r="AO129">
        <v>0</v>
      </c>
    </row>
    <row r="130" spans="1:41">
      <c r="A130">
        <v>213271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0.639421672670626</v>
      </c>
      <c r="AA130">
        <v>6.0753578035244803E-2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>
        <v>213376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0.58172231985940204</v>
      </c>
      <c r="AA131">
        <v>8.4797891036906797E-2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>
        <v>213379</v>
      </c>
      <c r="B132">
        <v>0</v>
      </c>
      <c r="C132">
        <v>1.11828666928012E-2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1.2173231270761499E-3</v>
      </c>
      <c r="L132">
        <v>0</v>
      </c>
      <c r="M132">
        <v>0</v>
      </c>
      <c r="N132">
        <v>0</v>
      </c>
      <c r="O132">
        <v>0</v>
      </c>
      <c r="P132">
        <v>1.60934243918542E-3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0.83611529494295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>
        <v>213367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0.862896336254241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>
        <v>213301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8.3153813011632896E-2</v>
      </c>
      <c r="AC134">
        <v>0</v>
      </c>
      <c r="AD134">
        <v>0</v>
      </c>
      <c r="AE134">
        <v>0</v>
      </c>
      <c r="AF134">
        <v>0.55450236966824595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>
        <v>213281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2.60013698282641E-2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0.76350168691814002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>
        <v>213253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0.67326421614828702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6B04-610F-4764-B1B0-6732F0082119}">
  <dimension ref="A1:I1032233"/>
  <sheetViews>
    <sheetView workbookViewId="0">
      <selection sqref="A1:XFD1"/>
    </sheetView>
  </sheetViews>
  <sheetFormatPr defaultRowHeight="14.5"/>
  <cols>
    <col min="1" max="1" width="19.6328125" bestFit="1" customWidth="1"/>
    <col min="3" max="3" width="21.453125" bestFit="1" customWidth="1"/>
    <col min="4" max="4" width="16.81640625" bestFit="1" customWidth="1"/>
    <col min="5" max="5" width="26.1796875" bestFit="1" customWidth="1"/>
    <col min="6" max="6" width="24.6328125" bestFit="1" customWidth="1"/>
    <col min="7" max="7" width="48.08984375" bestFit="1" customWidth="1"/>
    <col min="8" max="8" width="31.26953125" bestFit="1" customWidth="1"/>
    <col min="9" max="9" width="112.81640625" bestFit="1" customWidth="1"/>
  </cols>
  <sheetData>
    <row r="1" spans="1:9">
      <c r="A1" t="s">
        <v>255</v>
      </c>
      <c r="B1" t="s">
        <v>124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>
      <c r="A2">
        <v>1144231</v>
      </c>
      <c r="B2" t="s">
        <v>125</v>
      </c>
      <c r="C2" t="s">
        <v>130</v>
      </c>
      <c r="D2" t="s">
        <v>156</v>
      </c>
      <c r="E2">
        <v>15</v>
      </c>
      <c r="F2">
        <v>31</v>
      </c>
      <c r="G2" t="s">
        <v>157</v>
      </c>
      <c r="H2" t="s">
        <v>184</v>
      </c>
      <c r="I2" t="s">
        <v>211</v>
      </c>
    </row>
    <row r="3" spans="1:9">
      <c r="A3">
        <v>1144230</v>
      </c>
      <c r="B3" t="s">
        <v>125</v>
      </c>
      <c r="C3" t="s">
        <v>131</v>
      </c>
      <c r="D3" t="s">
        <v>156</v>
      </c>
      <c r="E3">
        <v>5</v>
      </c>
      <c r="F3">
        <v>12</v>
      </c>
      <c r="G3" t="s">
        <v>158</v>
      </c>
      <c r="H3" t="s">
        <v>185</v>
      </c>
      <c r="I3" t="s">
        <v>212</v>
      </c>
    </row>
    <row r="4" spans="1:9">
      <c r="A4">
        <v>1144351</v>
      </c>
      <c r="B4" t="s">
        <v>125</v>
      </c>
      <c r="C4" t="s">
        <v>132</v>
      </c>
      <c r="D4" t="s">
        <v>156</v>
      </c>
      <c r="E4">
        <v>4</v>
      </c>
      <c r="F4">
        <v>77</v>
      </c>
      <c r="G4" t="s">
        <v>132</v>
      </c>
      <c r="H4">
        <v>64772</v>
      </c>
      <c r="I4" t="s">
        <v>213</v>
      </c>
    </row>
    <row r="5" spans="1:9">
      <c r="A5">
        <v>1144507</v>
      </c>
      <c r="B5" t="s">
        <v>125</v>
      </c>
      <c r="C5" t="s">
        <v>133</v>
      </c>
      <c r="D5" t="s">
        <v>156</v>
      </c>
      <c r="E5">
        <v>4</v>
      </c>
      <c r="F5">
        <v>8</v>
      </c>
      <c r="G5" t="s">
        <v>133</v>
      </c>
      <c r="H5">
        <v>63479</v>
      </c>
      <c r="I5" t="s">
        <v>213</v>
      </c>
    </row>
    <row r="6" spans="1:9">
      <c r="A6">
        <v>1144354</v>
      </c>
      <c r="B6" t="s">
        <v>125</v>
      </c>
      <c r="C6" t="s">
        <v>134</v>
      </c>
      <c r="D6" t="s">
        <v>156</v>
      </c>
      <c r="E6">
        <v>3</v>
      </c>
      <c r="F6">
        <v>36</v>
      </c>
      <c r="G6" t="s">
        <v>134</v>
      </c>
      <c r="H6">
        <v>2830</v>
      </c>
      <c r="I6" t="s">
        <v>213</v>
      </c>
    </row>
    <row r="7" spans="1:9">
      <c r="A7">
        <v>1144389</v>
      </c>
      <c r="B7" t="s">
        <v>125</v>
      </c>
      <c r="C7" t="s">
        <v>131</v>
      </c>
      <c r="D7" t="s">
        <v>156</v>
      </c>
      <c r="E7">
        <v>3</v>
      </c>
      <c r="F7">
        <v>6</v>
      </c>
      <c r="G7" t="s">
        <v>131</v>
      </c>
      <c r="H7">
        <v>3964</v>
      </c>
      <c r="I7" t="s">
        <v>213</v>
      </c>
    </row>
    <row r="8" spans="1:9">
      <c r="A8">
        <v>1144327</v>
      </c>
      <c r="B8" t="s">
        <v>125</v>
      </c>
      <c r="C8" t="s">
        <v>135</v>
      </c>
      <c r="D8" t="s">
        <v>156</v>
      </c>
      <c r="E8">
        <v>2</v>
      </c>
      <c r="F8">
        <v>51</v>
      </c>
      <c r="G8" t="s">
        <v>135</v>
      </c>
      <c r="H8">
        <v>39276</v>
      </c>
      <c r="I8" t="s">
        <v>213</v>
      </c>
    </row>
    <row r="9" spans="1:9">
      <c r="A9">
        <v>1144232</v>
      </c>
      <c r="B9" t="s">
        <v>125</v>
      </c>
      <c r="C9" t="s">
        <v>131</v>
      </c>
      <c r="D9" t="s">
        <v>156</v>
      </c>
      <c r="E9">
        <v>2</v>
      </c>
      <c r="F9">
        <v>4</v>
      </c>
      <c r="G9" t="s">
        <v>159</v>
      </c>
      <c r="H9" t="s">
        <v>186</v>
      </c>
      <c r="I9" t="s">
        <v>214</v>
      </c>
    </row>
    <row r="10" spans="1:9">
      <c r="A10">
        <v>1144443</v>
      </c>
      <c r="B10" t="s">
        <v>125</v>
      </c>
      <c r="C10" t="s">
        <v>136</v>
      </c>
      <c r="D10" t="s">
        <v>156</v>
      </c>
      <c r="E10">
        <v>1</v>
      </c>
      <c r="F10">
        <v>24</v>
      </c>
      <c r="G10" t="s">
        <v>136</v>
      </c>
      <c r="H10">
        <v>64887</v>
      </c>
      <c r="I10" t="s">
        <v>215</v>
      </c>
    </row>
    <row r="11" spans="1:9">
      <c r="A11">
        <v>1144488</v>
      </c>
      <c r="B11" t="s">
        <v>125</v>
      </c>
      <c r="C11" t="s">
        <v>137</v>
      </c>
      <c r="D11" t="s">
        <v>156</v>
      </c>
      <c r="E11">
        <v>1</v>
      </c>
      <c r="F11">
        <v>11</v>
      </c>
      <c r="G11" t="s">
        <v>137</v>
      </c>
      <c r="H11">
        <v>737583</v>
      </c>
      <c r="I11" t="s">
        <v>215</v>
      </c>
    </row>
    <row r="12" spans="1:9">
      <c r="A12">
        <v>1149747</v>
      </c>
      <c r="B12" t="s">
        <v>125</v>
      </c>
      <c r="C12" t="s">
        <v>138</v>
      </c>
      <c r="D12" t="s">
        <v>156</v>
      </c>
      <c r="E12">
        <v>1</v>
      </c>
      <c r="F12">
        <v>3</v>
      </c>
      <c r="G12" t="s">
        <v>138</v>
      </c>
      <c r="H12">
        <v>34419</v>
      </c>
      <c r="I12" t="s">
        <v>215</v>
      </c>
    </row>
    <row r="13" spans="1:9">
      <c r="A13">
        <v>1144378</v>
      </c>
      <c r="B13" t="s">
        <v>125</v>
      </c>
      <c r="C13" t="s">
        <v>130</v>
      </c>
      <c r="D13" t="s">
        <v>156</v>
      </c>
      <c r="E13">
        <v>1</v>
      </c>
      <c r="F13">
        <v>10</v>
      </c>
      <c r="G13" t="s">
        <v>130</v>
      </c>
      <c r="H13">
        <v>62750</v>
      </c>
      <c r="I13" t="s">
        <v>215</v>
      </c>
    </row>
    <row r="14" spans="1:9">
      <c r="A14">
        <v>1143779</v>
      </c>
      <c r="B14" t="s">
        <v>125</v>
      </c>
      <c r="C14" t="s">
        <v>139</v>
      </c>
      <c r="D14" t="s">
        <v>156</v>
      </c>
      <c r="E14">
        <v>1</v>
      </c>
      <c r="F14">
        <v>93</v>
      </c>
      <c r="G14" t="s">
        <v>160</v>
      </c>
      <c r="H14" t="s">
        <v>187</v>
      </c>
      <c r="I14" t="s">
        <v>216</v>
      </c>
    </row>
    <row r="15" spans="1:9">
      <c r="A15">
        <v>1144036</v>
      </c>
      <c r="B15" t="s">
        <v>125</v>
      </c>
      <c r="C15" t="s">
        <v>139</v>
      </c>
      <c r="D15" t="s">
        <v>156</v>
      </c>
      <c r="E15">
        <v>1</v>
      </c>
      <c r="F15">
        <v>18</v>
      </c>
      <c r="G15" t="s">
        <v>161</v>
      </c>
      <c r="H15" t="s">
        <v>188</v>
      </c>
      <c r="I15" t="s">
        <v>217</v>
      </c>
    </row>
    <row r="16" spans="1:9">
      <c r="A16">
        <v>1144431</v>
      </c>
      <c r="B16" t="s">
        <v>125</v>
      </c>
      <c r="C16" t="s">
        <v>140</v>
      </c>
      <c r="D16" t="s">
        <v>156</v>
      </c>
      <c r="E16">
        <v>1</v>
      </c>
      <c r="F16">
        <v>16</v>
      </c>
      <c r="G16" t="s">
        <v>140</v>
      </c>
      <c r="H16">
        <v>61701</v>
      </c>
      <c r="I16" t="s">
        <v>215</v>
      </c>
    </row>
    <row r="17" spans="1:9">
      <c r="A17">
        <v>1147758</v>
      </c>
      <c r="B17" t="s">
        <v>126</v>
      </c>
      <c r="C17" t="s">
        <v>141</v>
      </c>
      <c r="D17" t="s">
        <v>156</v>
      </c>
      <c r="E17">
        <v>29</v>
      </c>
      <c r="F17">
        <v>98</v>
      </c>
      <c r="G17" t="s">
        <v>162</v>
      </c>
      <c r="H17" t="s">
        <v>189</v>
      </c>
      <c r="I17" t="s">
        <v>218</v>
      </c>
    </row>
    <row r="18" spans="1:9">
      <c r="A18">
        <v>1145600</v>
      </c>
      <c r="B18" t="s">
        <v>126</v>
      </c>
      <c r="C18" t="s">
        <v>142</v>
      </c>
      <c r="D18" t="s">
        <v>156</v>
      </c>
      <c r="E18">
        <v>21</v>
      </c>
      <c r="F18">
        <v>967</v>
      </c>
      <c r="G18" t="s">
        <v>163</v>
      </c>
      <c r="H18" t="s">
        <v>190</v>
      </c>
      <c r="I18" t="s">
        <v>219</v>
      </c>
    </row>
    <row r="19" spans="1:9">
      <c r="A19">
        <v>1145992</v>
      </c>
      <c r="B19" t="s">
        <v>126</v>
      </c>
      <c r="C19" t="s">
        <v>143</v>
      </c>
      <c r="D19" t="s">
        <v>156</v>
      </c>
      <c r="E19">
        <v>16</v>
      </c>
      <c r="F19">
        <v>299</v>
      </c>
      <c r="G19" t="s">
        <v>164</v>
      </c>
      <c r="H19" t="s">
        <v>191</v>
      </c>
      <c r="I19" t="s">
        <v>220</v>
      </c>
    </row>
    <row r="20" spans="1:9">
      <c r="A20">
        <v>1147759</v>
      </c>
      <c r="B20" t="s">
        <v>126</v>
      </c>
      <c r="C20" t="s">
        <v>141</v>
      </c>
      <c r="D20" t="s">
        <v>156</v>
      </c>
      <c r="E20">
        <v>16</v>
      </c>
      <c r="F20">
        <v>24</v>
      </c>
      <c r="G20" t="s">
        <v>165</v>
      </c>
      <c r="H20" t="s">
        <v>192</v>
      </c>
      <c r="I20" t="s">
        <v>221</v>
      </c>
    </row>
    <row r="21" spans="1:9">
      <c r="A21">
        <v>1145885</v>
      </c>
      <c r="B21" t="s">
        <v>126</v>
      </c>
      <c r="C21" t="s">
        <v>144</v>
      </c>
      <c r="D21" t="s">
        <v>156</v>
      </c>
      <c r="E21">
        <v>13</v>
      </c>
      <c r="F21">
        <v>114</v>
      </c>
      <c r="G21" t="s">
        <v>166</v>
      </c>
      <c r="H21" t="s">
        <v>193</v>
      </c>
      <c r="I21" t="s">
        <v>222</v>
      </c>
    </row>
    <row r="22" spans="1:9">
      <c r="A22">
        <v>1146665</v>
      </c>
      <c r="B22" t="s">
        <v>126</v>
      </c>
      <c r="C22" t="s">
        <v>144</v>
      </c>
      <c r="D22" t="s">
        <v>156</v>
      </c>
      <c r="E22">
        <v>13</v>
      </c>
      <c r="F22">
        <v>523</v>
      </c>
      <c r="G22" t="s">
        <v>167</v>
      </c>
      <c r="H22" t="s">
        <v>194</v>
      </c>
      <c r="I22" t="s">
        <v>223</v>
      </c>
    </row>
    <row r="23" spans="1:9">
      <c r="A23">
        <v>1147762</v>
      </c>
      <c r="B23" t="s">
        <v>126</v>
      </c>
      <c r="C23" t="s">
        <v>141</v>
      </c>
      <c r="D23" t="s">
        <v>156</v>
      </c>
      <c r="E23">
        <v>8</v>
      </c>
      <c r="F23">
        <v>12</v>
      </c>
      <c r="G23" t="s">
        <v>168</v>
      </c>
      <c r="H23" t="s">
        <v>195</v>
      </c>
      <c r="I23" t="s">
        <v>224</v>
      </c>
    </row>
    <row r="24" spans="1:9">
      <c r="A24">
        <v>1147553</v>
      </c>
      <c r="B24" t="s">
        <v>126</v>
      </c>
      <c r="C24" t="s">
        <v>145</v>
      </c>
      <c r="D24" t="s">
        <v>156</v>
      </c>
      <c r="E24">
        <v>7</v>
      </c>
      <c r="F24">
        <v>424</v>
      </c>
      <c r="G24" t="s">
        <v>169</v>
      </c>
      <c r="H24" t="s">
        <v>196</v>
      </c>
      <c r="I24" t="s">
        <v>225</v>
      </c>
    </row>
    <row r="25" spans="1:9">
      <c r="A25">
        <v>1147760</v>
      </c>
      <c r="B25" t="s">
        <v>126</v>
      </c>
      <c r="C25" t="s">
        <v>141</v>
      </c>
      <c r="D25" t="s">
        <v>156</v>
      </c>
      <c r="E25">
        <v>4</v>
      </c>
      <c r="F25">
        <v>8</v>
      </c>
      <c r="G25" t="s">
        <v>170</v>
      </c>
      <c r="H25" t="s">
        <v>197</v>
      </c>
      <c r="I25" t="s">
        <v>226</v>
      </c>
    </row>
    <row r="26" spans="1:9">
      <c r="A26">
        <v>1147751</v>
      </c>
      <c r="B26" t="s">
        <v>126</v>
      </c>
      <c r="C26" t="s">
        <v>141</v>
      </c>
      <c r="D26" t="s">
        <v>156</v>
      </c>
      <c r="E26">
        <v>2</v>
      </c>
      <c r="F26">
        <v>18</v>
      </c>
      <c r="G26" t="s">
        <v>171</v>
      </c>
      <c r="H26" t="s">
        <v>198</v>
      </c>
      <c r="I26" t="s">
        <v>227</v>
      </c>
    </row>
    <row r="27" spans="1:9">
      <c r="A27">
        <v>1148159</v>
      </c>
      <c r="B27" t="s">
        <v>126</v>
      </c>
      <c r="C27" t="s">
        <v>146</v>
      </c>
      <c r="D27" t="s">
        <v>156</v>
      </c>
      <c r="E27">
        <v>2</v>
      </c>
      <c r="F27">
        <v>48</v>
      </c>
      <c r="G27" t="s">
        <v>146</v>
      </c>
      <c r="H27">
        <v>869</v>
      </c>
      <c r="I27" t="s">
        <v>213</v>
      </c>
    </row>
    <row r="28" spans="1:9">
      <c r="A28">
        <v>1148050</v>
      </c>
      <c r="B28" t="s">
        <v>126</v>
      </c>
      <c r="C28" t="s">
        <v>147</v>
      </c>
      <c r="D28" t="s">
        <v>156</v>
      </c>
      <c r="E28">
        <v>1</v>
      </c>
      <c r="F28">
        <v>66</v>
      </c>
      <c r="G28" t="s">
        <v>147</v>
      </c>
      <c r="H28">
        <v>1</v>
      </c>
      <c r="I28" t="s">
        <v>215</v>
      </c>
    </row>
    <row r="29" spans="1:9">
      <c r="A29">
        <v>1147163</v>
      </c>
      <c r="B29" t="s">
        <v>126</v>
      </c>
      <c r="C29" t="s">
        <v>143</v>
      </c>
      <c r="D29" t="s">
        <v>156</v>
      </c>
      <c r="E29">
        <v>1</v>
      </c>
      <c r="F29">
        <v>12</v>
      </c>
      <c r="G29" t="s">
        <v>172</v>
      </c>
      <c r="H29" t="s">
        <v>199</v>
      </c>
      <c r="I29" t="s">
        <v>228</v>
      </c>
    </row>
    <row r="30" spans="1:9">
      <c r="A30">
        <v>1145507</v>
      </c>
      <c r="B30" t="s">
        <v>126</v>
      </c>
      <c r="C30" t="s">
        <v>148</v>
      </c>
      <c r="D30" t="s">
        <v>156</v>
      </c>
      <c r="E30">
        <v>1</v>
      </c>
      <c r="F30">
        <v>49</v>
      </c>
      <c r="G30" t="s">
        <v>173</v>
      </c>
      <c r="H30" t="s">
        <v>200</v>
      </c>
      <c r="I30" t="s">
        <v>229</v>
      </c>
    </row>
    <row r="31" spans="1:9">
      <c r="A31">
        <v>1147561</v>
      </c>
      <c r="B31" t="s">
        <v>126</v>
      </c>
      <c r="C31" t="s">
        <v>141</v>
      </c>
      <c r="D31" t="s">
        <v>156</v>
      </c>
      <c r="E31">
        <v>1</v>
      </c>
      <c r="F31">
        <v>51</v>
      </c>
      <c r="G31" t="s">
        <v>174</v>
      </c>
      <c r="H31" t="s">
        <v>201</v>
      </c>
      <c r="I31" t="s">
        <v>230</v>
      </c>
    </row>
    <row r="32" spans="1:9">
      <c r="A32">
        <v>1147825</v>
      </c>
      <c r="B32" t="s">
        <v>126</v>
      </c>
      <c r="C32" t="s">
        <v>149</v>
      </c>
      <c r="D32" t="s">
        <v>156</v>
      </c>
      <c r="E32">
        <v>1</v>
      </c>
      <c r="F32">
        <v>6</v>
      </c>
      <c r="G32" t="s">
        <v>175</v>
      </c>
      <c r="H32" t="s">
        <v>202</v>
      </c>
      <c r="I32" t="s">
        <v>231</v>
      </c>
    </row>
    <row r="33" spans="1:9">
      <c r="A33">
        <v>1149782</v>
      </c>
      <c r="B33" t="s">
        <v>126</v>
      </c>
      <c r="C33" t="s">
        <v>150</v>
      </c>
      <c r="D33" t="s">
        <v>156</v>
      </c>
      <c r="E33">
        <v>1</v>
      </c>
      <c r="F33">
        <v>10</v>
      </c>
      <c r="G33" t="s">
        <v>176</v>
      </c>
      <c r="H33" t="s">
        <v>203</v>
      </c>
      <c r="I33" t="s">
        <v>232</v>
      </c>
    </row>
    <row r="34" spans="1:9">
      <c r="A34">
        <v>1147228</v>
      </c>
      <c r="B34" t="s">
        <v>126</v>
      </c>
      <c r="C34" t="s">
        <v>148</v>
      </c>
      <c r="D34" t="s">
        <v>156</v>
      </c>
      <c r="E34">
        <v>1</v>
      </c>
      <c r="F34">
        <v>9</v>
      </c>
      <c r="G34" t="s">
        <v>177</v>
      </c>
      <c r="H34" t="s">
        <v>204</v>
      </c>
      <c r="I34" t="s">
        <v>233</v>
      </c>
    </row>
    <row r="35" spans="1:9">
      <c r="A35">
        <v>1147868</v>
      </c>
      <c r="B35" t="s">
        <v>126</v>
      </c>
      <c r="C35" t="s">
        <v>149</v>
      </c>
      <c r="D35" t="s">
        <v>156</v>
      </c>
      <c r="E35">
        <v>1</v>
      </c>
      <c r="F35">
        <v>8</v>
      </c>
      <c r="G35" t="s">
        <v>178</v>
      </c>
      <c r="H35" t="s">
        <v>205</v>
      </c>
      <c r="I35" t="s">
        <v>234</v>
      </c>
    </row>
    <row r="36" spans="1:9">
      <c r="A36">
        <v>1147124</v>
      </c>
      <c r="B36" t="s">
        <v>126</v>
      </c>
      <c r="C36" t="s">
        <v>146</v>
      </c>
      <c r="D36" t="s">
        <v>156</v>
      </c>
      <c r="E36">
        <v>1</v>
      </c>
      <c r="F36">
        <v>89</v>
      </c>
      <c r="G36" t="s">
        <v>179</v>
      </c>
      <c r="H36" t="s">
        <v>206</v>
      </c>
      <c r="I36" t="s">
        <v>235</v>
      </c>
    </row>
    <row r="37" spans="1:9">
      <c r="A37">
        <v>1145595</v>
      </c>
      <c r="B37" t="s">
        <v>126</v>
      </c>
      <c r="C37" t="s">
        <v>143</v>
      </c>
      <c r="D37" t="s">
        <v>156</v>
      </c>
      <c r="E37">
        <v>1</v>
      </c>
      <c r="F37">
        <v>305</v>
      </c>
      <c r="G37" t="s">
        <v>180</v>
      </c>
      <c r="H37" t="s">
        <v>207</v>
      </c>
      <c r="I37" t="s">
        <v>236</v>
      </c>
    </row>
    <row r="38" spans="1:9">
      <c r="A38">
        <v>1148407</v>
      </c>
      <c r="B38" t="s">
        <v>127</v>
      </c>
      <c r="C38" t="s">
        <v>151</v>
      </c>
      <c r="D38" t="s">
        <v>156</v>
      </c>
      <c r="E38">
        <v>1</v>
      </c>
      <c r="F38">
        <v>31</v>
      </c>
      <c r="G38" t="s">
        <v>181</v>
      </c>
      <c r="H38" t="s">
        <v>208</v>
      </c>
      <c r="I38" t="s">
        <v>237</v>
      </c>
    </row>
    <row r="39" spans="1:9">
      <c r="A39">
        <v>1149397</v>
      </c>
      <c r="B39" t="s">
        <v>128</v>
      </c>
      <c r="C39" t="s">
        <v>152</v>
      </c>
      <c r="D39" t="s">
        <v>156</v>
      </c>
      <c r="E39">
        <v>2</v>
      </c>
      <c r="F39">
        <v>4</v>
      </c>
      <c r="G39" t="s">
        <v>182</v>
      </c>
      <c r="H39" t="s">
        <v>209</v>
      </c>
      <c r="I39" t="s">
        <v>238</v>
      </c>
    </row>
    <row r="40" spans="1:9">
      <c r="A40">
        <v>1149622</v>
      </c>
      <c r="B40" t="s">
        <v>129</v>
      </c>
      <c r="C40" t="s">
        <v>153</v>
      </c>
      <c r="D40" t="s">
        <v>156</v>
      </c>
      <c r="E40">
        <v>1</v>
      </c>
      <c r="F40">
        <v>2</v>
      </c>
      <c r="G40" t="s">
        <v>153</v>
      </c>
      <c r="H40">
        <v>73557</v>
      </c>
      <c r="I40" t="s">
        <v>215</v>
      </c>
    </row>
    <row r="41" spans="1:9">
      <c r="A41">
        <v>1149567</v>
      </c>
      <c r="B41" t="s">
        <v>129</v>
      </c>
      <c r="C41" t="s">
        <v>154</v>
      </c>
      <c r="D41" t="s">
        <v>156</v>
      </c>
      <c r="E41">
        <v>1</v>
      </c>
      <c r="F41">
        <v>20</v>
      </c>
      <c r="G41" t="s">
        <v>183</v>
      </c>
      <c r="H41" t="s">
        <v>210</v>
      </c>
      <c r="I41" t="s">
        <v>239</v>
      </c>
    </row>
    <row r="16384" spans="4:4">
      <c r="D16384" t="s">
        <v>155</v>
      </c>
    </row>
    <row r="16386" spans="4:4">
      <c r="D16386" t="s">
        <v>156</v>
      </c>
    </row>
    <row r="16387" spans="4:4">
      <c r="D16387" t="s">
        <v>156</v>
      </c>
    </row>
    <row r="16388" spans="4:4">
      <c r="D16388" t="s">
        <v>156</v>
      </c>
    </row>
    <row r="16389" spans="4:4">
      <c r="D16389" t="s">
        <v>156</v>
      </c>
    </row>
    <row r="16390" spans="4:4">
      <c r="D16390" t="s">
        <v>156</v>
      </c>
    </row>
    <row r="16391" spans="4:4">
      <c r="D16391" t="s">
        <v>156</v>
      </c>
    </row>
    <row r="16392" spans="4:4">
      <c r="D16392" t="s">
        <v>156</v>
      </c>
    </row>
    <row r="16393" spans="4:4">
      <c r="D16393" t="s">
        <v>156</v>
      </c>
    </row>
    <row r="16394" spans="4:4">
      <c r="D16394" t="s">
        <v>156</v>
      </c>
    </row>
    <row r="16395" spans="4:4">
      <c r="D16395" t="s">
        <v>156</v>
      </c>
    </row>
    <row r="16396" spans="4:4">
      <c r="D16396" t="s">
        <v>156</v>
      </c>
    </row>
    <row r="16397" spans="4:4">
      <c r="D16397" t="s">
        <v>156</v>
      </c>
    </row>
    <row r="16398" spans="4:4">
      <c r="D16398" t="s">
        <v>156</v>
      </c>
    </row>
    <row r="16399" spans="4:4">
      <c r="D16399" t="s">
        <v>156</v>
      </c>
    </row>
    <row r="16400" spans="4:4">
      <c r="D16400" t="s">
        <v>156</v>
      </c>
    </row>
    <row r="16401" spans="4:4">
      <c r="D16401" t="s">
        <v>156</v>
      </c>
    </row>
    <row r="16402" spans="4:4">
      <c r="D16402" t="s">
        <v>156</v>
      </c>
    </row>
    <row r="16403" spans="4:4">
      <c r="D16403" t="s">
        <v>156</v>
      </c>
    </row>
    <row r="16404" spans="4:4">
      <c r="D16404" t="s">
        <v>156</v>
      </c>
    </row>
    <row r="16405" spans="4:4">
      <c r="D16405" t="s">
        <v>156</v>
      </c>
    </row>
    <row r="16406" spans="4:4">
      <c r="D16406" t="s">
        <v>156</v>
      </c>
    </row>
    <row r="16407" spans="4:4">
      <c r="D16407" t="s">
        <v>156</v>
      </c>
    </row>
    <row r="16408" spans="4:4">
      <c r="D16408" t="s">
        <v>156</v>
      </c>
    </row>
    <row r="16409" spans="4:4">
      <c r="D16409" t="s">
        <v>156</v>
      </c>
    </row>
    <row r="16410" spans="4:4">
      <c r="D16410" t="s">
        <v>156</v>
      </c>
    </row>
    <row r="16411" spans="4:4">
      <c r="D16411" t="s">
        <v>156</v>
      </c>
    </row>
    <row r="16412" spans="4:4">
      <c r="D16412" t="s">
        <v>156</v>
      </c>
    </row>
    <row r="16413" spans="4:4">
      <c r="D16413" t="s">
        <v>156</v>
      </c>
    </row>
    <row r="16414" spans="4:4">
      <c r="D16414" t="s">
        <v>156</v>
      </c>
    </row>
    <row r="16415" spans="4:4">
      <c r="D16415" t="s">
        <v>156</v>
      </c>
    </row>
    <row r="16416" spans="4:4">
      <c r="D16416" t="s">
        <v>156</v>
      </c>
    </row>
    <row r="16417" spans="4:4">
      <c r="D16417" t="s">
        <v>156</v>
      </c>
    </row>
    <row r="16418" spans="4:4">
      <c r="D16418" t="s">
        <v>156</v>
      </c>
    </row>
    <row r="16419" spans="4:4">
      <c r="D16419" t="s">
        <v>156</v>
      </c>
    </row>
    <row r="16420" spans="4:4">
      <c r="D16420" t="s">
        <v>156</v>
      </c>
    </row>
    <row r="16421" spans="4:4">
      <c r="D16421" t="s">
        <v>156</v>
      </c>
    </row>
    <row r="16422" spans="4:4">
      <c r="D16422" t="s">
        <v>156</v>
      </c>
    </row>
    <row r="16423" spans="4:4">
      <c r="D16423" t="s">
        <v>156</v>
      </c>
    </row>
    <row r="16424" spans="4:4">
      <c r="D16424" t="s">
        <v>156</v>
      </c>
    </row>
    <row r="16425" spans="4:4">
      <c r="D16425" t="s">
        <v>156</v>
      </c>
    </row>
    <row r="32768" spans="4:4">
      <c r="D32768" t="s">
        <v>155</v>
      </c>
    </row>
    <row r="32770" spans="4:4">
      <c r="D32770" t="s">
        <v>156</v>
      </c>
    </row>
    <row r="32771" spans="4:4">
      <c r="D32771" t="s">
        <v>156</v>
      </c>
    </row>
    <row r="32772" spans="4:4">
      <c r="D32772" t="s">
        <v>156</v>
      </c>
    </row>
    <row r="32773" spans="4:4">
      <c r="D32773" t="s">
        <v>156</v>
      </c>
    </row>
    <row r="32774" spans="4:4">
      <c r="D32774" t="s">
        <v>156</v>
      </c>
    </row>
    <row r="32775" spans="4:4">
      <c r="D32775" t="s">
        <v>156</v>
      </c>
    </row>
    <row r="32776" spans="4:4">
      <c r="D32776" t="s">
        <v>156</v>
      </c>
    </row>
    <row r="32777" spans="4:4">
      <c r="D32777" t="s">
        <v>156</v>
      </c>
    </row>
    <row r="32778" spans="4:4">
      <c r="D32778" t="s">
        <v>156</v>
      </c>
    </row>
    <row r="32779" spans="4:4">
      <c r="D32779" t="s">
        <v>156</v>
      </c>
    </row>
    <row r="32780" spans="4:4">
      <c r="D32780" t="s">
        <v>156</v>
      </c>
    </row>
    <row r="32781" spans="4:4">
      <c r="D32781" t="s">
        <v>156</v>
      </c>
    </row>
    <row r="32782" spans="4:4">
      <c r="D32782" t="s">
        <v>156</v>
      </c>
    </row>
    <row r="32783" spans="4:4">
      <c r="D32783" t="s">
        <v>156</v>
      </c>
    </row>
    <row r="32784" spans="4:4">
      <c r="D32784" t="s">
        <v>156</v>
      </c>
    </row>
    <row r="32785" spans="4:4">
      <c r="D32785" t="s">
        <v>156</v>
      </c>
    </row>
    <row r="32786" spans="4:4">
      <c r="D32786" t="s">
        <v>156</v>
      </c>
    </row>
    <row r="32787" spans="4:4">
      <c r="D32787" t="s">
        <v>156</v>
      </c>
    </row>
    <row r="32788" spans="4:4">
      <c r="D32788" t="s">
        <v>156</v>
      </c>
    </row>
    <row r="32789" spans="4:4">
      <c r="D32789" t="s">
        <v>156</v>
      </c>
    </row>
    <row r="32790" spans="4:4">
      <c r="D32790" t="s">
        <v>156</v>
      </c>
    </row>
    <row r="32791" spans="4:4">
      <c r="D32791" t="s">
        <v>156</v>
      </c>
    </row>
    <row r="32792" spans="4:4">
      <c r="D32792" t="s">
        <v>156</v>
      </c>
    </row>
    <row r="32793" spans="4:4">
      <c r="D32793" t="s">
        <v>156</v>
      </c>
    </row>
    <row r="32794" spans="4:4">
      <c r="D32794" t="s">
        <v>156</v>
      </c>
    </row>
    <row r="32795" spans="4:4">
      <c r="D32795" t="s">
        <v>156</v>
      </c>
    </row>
    <row r="32796" spans="4:4">
      <c r="D32796" t="s">
        <v>156</v>
      </c>
    </row>
    <row r="32797" spans="4:4">
      <c r="D32797" t="s">
        <v>156</v>
      </c>
    </row>
    <row r="32798" spans="4:4">
      <c r="D32798" t="s">
        <v>156</v>
      </c>
    </row>
    <row r="32799" spans="4:4">
      <c r="D32799" t="s">
        <v>156</v>
      </c>
    </row>
    <row r="32800" spans="4:4">
      <c r="D32800" t="s">
        <v>156</v>
      </c>
    </row>
    <row r="32801" spans="4:4">
      <c r="D32801" t="s">
        <v>156</v>
      </c>
    </row>
    <row r="32802" spans="4:4">
      <c r="D32802" t="s">
        <v>156</v>
      </c>
    </row>
    <row r="32803" spans="4:4">
      <c r="D32803" t="s">
        <v>156</v>
      </c>
    </row>
    <row r="32804" spans="4:4">
      <c r="D32804" t="s">
        <v>156</v>
      </c>
    </row>
    <row r="32805" spans="4:4">
      <c r="D32805" t="s">
        <v>156</v>
      </c>
    </row>
    <row r="32806" spans="4:4">
      <c r="D32806" t="s">
        <v>156</v>
      </c>
    </row>
    <row r="32807" spans="4:4">
      <c r="D32807" t="s">
        <v>156</v>
      </c>
    </row>
    <row r="32808" spans="4:4">
      <c r="D32808" t="s">
        <v>156</v>
      </c>
    </row>
    <row r="32809" spans="4:4">
      <c r="D32809" t="s">
        <v>156</v>
      </c>
    </row>
    <row r="49152" spans="4:4">
      <c r="D49152" t="s">
        <v>155</v>
      </c>
    </row>
    <row r="49154" spans="4:4">
      <c r="D49154" t="s">
        <v>156</v>
      </c>
    </row>
    <row r="49155" spans="4:4">
      <c r="D49155" t="s">
        <v>156</v>
      </c>
    </row>
    <row r="49156" spans="4:4">
      <c r="D49156" t="s">
        <v>156</v>
      </c>
    </row>
    <row r="49157" spans="4:4">
      <c r="D49157" t="s">
        <v>156</v>
      </c>
    </row>
    <row r="49158" spans="4:4">
      <c r="D49158" t="s">
        <v>156</v>
      </c>
    </row>
    <row r="49159" spans="4:4">
      <c r="D49159" t="s">
        <v>156</v>
      </c>
    </row>
    <row r="49160" spans="4:4">
      <c r="D49160" t="s">
        <v>156</v>
      </c>
    </row>
    <row r="49161" spans="4:4">
      <c r="D49161" t="s">
        <v>156</v>
      </c>
    </row>
    <row r="49162" spans="4:4">
      <c r="D49162" t="s">
        <v>156</v>
      </c>
    </row>
    <row r="49163" spans="4:4">
      <c r="D49163" t="s">
        <v>156</v>
      </c>
    </row>
    <row r="49164" spans="4:4">
      <c r="D49164" t="s">
        <v>156</v>
      </c>
    </row>
    <row r="49165" spans="4:4">
      <c r="D49165" t="s">
        <v>156</v>
      </c>
    </row>
    <row r="49166" spans="4:4">
      <c r="D49166" t="s">
        <v>156</v>
      </c>
    </row>
    <row r="49167" spans="4:4">
      <c r="D49167" t="s">
        <v>156</v>
      </c>
    </row>
    <row r="49168" spans="4:4">
      <c r="D49168" t="s">
        <v>156</v>
      </c>
    </row>
    <row r="49169" spans="4:4">
      <c r="D49169" t="s">
        <v>156</v>
      </c>
    </row>
    <row r="49170" spans="4:4">
      <c r="D49170" t="s">
        <v>156</v>
      </c>
    </row>
    <row r="49171" spans="4:4">
      <c r="D49171" t="s">
        <v>156</v>
      </c>
    </row>
    <row r="49172" spans="4:4">
      <c r="D49172" t="s">
        <v>156</v>
      </c>
    </row>
    <row r="49173" spans="4:4">
      <c r="D49173" t="s">
        <v>156</v>
      </c>
    </row>
    <row r="49174" spans="4:4">
      <c r="D49174" t="s">
        <v>156</v>
      </c>
    </row>
    <row r="49175" spans="4:4">
      <c r="D49175" t="s">
        <v>156</v>
      </c>
    </row>
    <row r="49176" spans="4:4">
      <c r="D49176" t="s">
        <v>156</v>
      </c>
    </row>
    <row r="49177" spans="4:4">
      <c r="D49177" t="s">
        <v>156</v>
      </c>
    </row>
    <row r="49178" spans="4:4">
      <c r="D49178" t="s">
        <v>156</v>
      </c>
    </row>
    <row r="49179" spans="4:4">
      <c r="D49179" t="s">
        <v>156</v>
      </c>
    </row>
    <row r="49180" spans="4:4">
      <c r="D49180" t="s">
        <v>156</v>
      </c>
    </row>
    <row r="49181" spans="4:4">
      <c r="D49181" t="s">
        <v>156</v>
      </c>
    </row>
    <row r="49182" spans="4:4">
      <c r="D49182" t="s">
        <v>156</v>
      </c>
    </row>
    <row r="49183" spans="4:4">
      <c r="D49183" t="s">
        <v>156</v>
      </c>
    </row>
    <row r="49184" spans="4:4">
      <c r="D49184" t="s">
        <v>156</v>
      </c>
    </row>
    <row r="49185" spans="4:4">
      <c r="D49185" t="s">
        <v>156</v>
      </c>
    </row>
    <row r="49186" spans="4:4">
      <c r="D49186" t="s">
        <v>156</v>
      </c>
    </row>
    <row r="49187" spans="4:4">
      <c r="D49187" t="s">
        <v>156</v>
      </c>
    </row>
    <row r="49188" spans="4:4">
      <c r="D49188" t="s">
        <v>156</v>
      </c>
    </row>
    <row r="49189" spans="4:4">
      <c r="D49189" t="s">
        <v>156</v>
      </c>
    </row>
    <row r="49190" spans="4:4">
      <c r="D49190" t="s">
        <v>156</v>
      </c>
    </row>
    <row r="49191" spans="4:4">
      <c r="D49191" t="s">
        <v>156</v>
      </c>
    </row>
    <row r="49192" spans="4:4">
      <c r="D49192" t="s">
        <v>156</v>
      </c>
    </row>
    <row r="49193" spans="4:4">
      <c r="D49193" t="s">
        <v>156</v>
      </c>
    </row>
    <row r="65536" spans="4:4">
      <c r="D65536" t="s">
        <v>155</v>
      </c>
    </row>
    <row r="65538" spans="4:4">
      <c r="D65538" t="s">
        <v>156</v>
      </c>
    </row>
    <row r="65539" spans="4:4">
      <c r="D65539" t="s">
        <v>156</v>
      </c>
    </row>
    <row r="65540" spans="4:4">
      <c r="D65540" t="s">
        <v>156</v>
      </c>
    </row>
    <row r="65541" spans="4:4">
      <c r="D65541" t="s">
        <v>156</v>
      </c>
    </row>
    <row r="65542" spans="4:4">
      <c r="D65542" t="s">
        <v>156</v>
      </c>
    </row>
    <row r="65543" spans="4:4">
      <c r="D65543" t="s">
        <v>156</v>
      </c>
    </row>
    <row r="65544" spans="4:4">
      <c r="D65544" t="s">
        <v>156</v>
      </c>
    </row>
    <row r="65545" spans="4:4">
      <c r="D65545" t="s">
        <v>156</v>
      </c>
    </row>
    <row r="65546" spans="4:4">
      <c r="D65546" t="s">
        <v>156</v>
      </c>
    </row>
    <row r="65547" spans="4:4">
      <c r="D65547" t="s">
        <v>156</v>
      </c>
    </row>
    <row r="65548" spans="4:4">
      <c r="D65548" t="s">
        <v>156</v>
      </c>
    </row>
    <row r="65549" spans="4:4">
      <c r="D65549" t="s">
        <v>156</v>
      </c>
    </row>
    <row r="65550" spans="4:4">
      <c r="D65550" t="s">
        <v>156</v>
      </c>
    </row>
    <row r="65551" spans="4:4">
      <c r="D65551" t="s">
        <v>156</v>
      </c>
    </row>
    <row r="65552" spans="4:4">
      <c r="D65552" t="s">
        <v>156</v>
      </c>
    </row>
    <row r="65553" spans="4:4">
      <c r="D65553" t="s">
        <v>156</v>
      </c>
    </row>
    <row r="65554" spans="4:4">
      <c r="D65554" t="s">
        <v>156</v>
      </c>
    </row>
    <row r="65555" spans="4:4">
      <c r="D65555" t="s">
        <v>156</v>
      </c>
    </row>
    <row r="65556" spans="4:4">
      <c r="D65556" t="s">
        <v>156</v>
      </c>
    </row>
    <row r="65557" spans="4:4">
      <c r="D65557" t="s">
        <v>156</v>
      </c>
    </row>
    <row r="65558" spans="4:4">
      <c r="D65558" t="s">
        <v>156</v>
      </c>
    </row>
    <row r="65559" spans="4:4">
      <c r="D65559" t="s">
        <v>156</v>
      </c>
    </row>
    <row r="65560" spans="4:4">
      <c r="D65560" t="s">
        <v>156</v>
      </c>
    </row>
    <row r="65561" spans="4:4">
      <c r="D65561" t="s">
        <v>156</v>
      </c>
    </row>
    <row r="65562" spans="4:4">
      <c r="D65562" t="s">
        <v>156</v>
      </c>
    </row>
    <row r="65563" spans="4:4">
      <c r="D65563" t="s">
        <v>156</v>
      </c>
    </row>
    <row r="65564" spans="4:4">
      <c r="D65564" t="s">
        <v>156</v>
      </c>
    </row>
    <row r="65565" spans="4:4">
      <c r="D65565" t="s">
        <v>156</v>
      </c>
    </row>
    <row r="65566" spans="4:4">
      <c r="D65566" t="s">
        <v>156</v>
      </c>
    </row>
    <row r="65567" spans="4:4">
      <c r="D65567" t="s">
        <v>156</v>
      </c>
    </row>
    <row r="65568" spans="4:4">
      <c r="D65568" t="s">
        <v>156</v>
      </c>
    </row>
    <row r="65569" spans="4:4">
      <c r="D65569" t="s">
        <v>156</v>
      </c>
    </row>
    <row r="65570" spans="4:4">
      <c r="D65570" t="s">
        <v>156</v>
      </c>
    </row>
    <row r="65571" spans="4:4">
      <c r="D65571" t="s">
        <v>156</v>
      </c>
    </row>
    <row r="65572" spans="4:4">
      <c r="D65572" t="s">
        <v>156</v>
      </c>
    </row>
    <row r="65573" spans="4:4">
      <c r="D65573" t="s">
        <v>156</v>
      </c>
    </row>
    <row r="65574" spans="4:4">
      <c r="D65574" t="s">
        <v>156</v>
      </c>
    </row>
    <row r="65575" spans="4:4">
      <c r="D65575" t="s">
        <v>156</v>
      </c>
    </row>
    <row r="65576" spans="4:4">
      <c r="D65576" t="s">
        <v>156</v>
      </c>
    </row>
    <row r="65577" spans="4:4">
      <c r="D65577" t="s">
        <v>156</v>
      </c>
    </row>
    <row r="81920" spans="4:4">
      <c r="D81920" t="s">
        <v>155</v>
      </c>
    </row>
    <row r="81922" spans="4:4">
      <c r="D81922" t="s">
        <v>156</v>
      </c>
    </row>
    <row r="81923" spans="4:4">
      <c r="D81923" t="s">
        <v>156</v>
      </c>
    </row>
    <row r="81924" spans="4:4">
      <c r="D81924" t="s">
        <v>156</v>
      </c>
    </row>
    <row r="81925" spans="4:4">
      <c r="D81925" t="s">
        <v>156</v>
      </c>
    </row>
    <row r="81926" spans="4:4">
      <c r="D81926" t="s">
        <v>156</v>
      </c>
    </row>
    <row r="81927" spans="4:4">
      <c r="D81927" t="s">
        <v>156</v>
      </c>
    </row>
    <row r="81928" spans="4:4">
      <c r="D81928" t="s">
        <v>156</v>
      </c>
    </row>
    <row r="81929" spans="4:4">
      <c r="D81929" t="s">
        <v>156</v>
      </c>
    </row>
    <row r="81930" spans="4:4">
      <c r="D81930" t="s">
        <v>156</v>
      </c>
    </row>
    <row r="81931" spans="4:4">
      <c r="D81931" t="s">
        <v>156</v>
      </c>
    </row>
    <row r="81932" spans="4:4">
      <c r="D81932" t="s">
        <v>156</v>
      </c>
    </row>
    <row r="81933" spans="4:4">
      <c r="D81933" t="s">
        <v>156</v>
      </c>
    </row>
    <row r="81934" spans="4:4">
      <c r="D81934" t="s">
        <v>156</v>
      </c>
    </row>
    <row r="81935" spans="4:4">
      <c r="D81935" t="s">
        <v>156</v>
      </c>
    </row>
    <row r="81936" spans="4:4">
      <c r="D81936" t="s">
        <v>156</v>
      </c>
    </row>
    <row r="81937" spans="4:4">
      <c r="D81937" t="s">
        <v>156</v>
      </c>
    </row>
    <row r="81938" spans="4:4">
      <c r="D81938" t="s">
        <v>156</v>
      </c>
    </row>
    <row r="81939" spans="4:4">
      <c r="D81939" t="s">
        <v>156</v>
      </c>
    </row>
    <row r="81940" spans="4:4">
      <c r="D81940" t="s">
        <v>156</v>
      </c>
    </row>
    <row r="81941" spans="4:4">
      <c r="D81941" t="s">
        <v>156</v>
      </c>
    </row>
    <row r="81942" spans="4:4">
      <c r="D81942" t="s">
        <v>156</v>
      </c>
    </row>
    <row r="81943" spans="4:4">
      <c r="D81943" t="s">
        <v>156</v>
      </c>
    </row>
    <row r="81944" spans="4:4">
      <c r="D81944" t="s">
        <v>156</v>
      </c>
    </row>
    <row r="81945" spans="4:4">
      <c r="D81945" t="s">
        <v>156</v>
      </c>
    </row>
    <row r="81946" spans="4:4">
      <c r="D81946" t="s">
        <v>156</v>
      </c>
    </row>
    <row r="81947" spans="4:4">
      <c r="D81947" t="s">
        <v>156</v>
      </c>
    </row>
    <row r="81948" spans="4:4">
      <c r="D81948" t="s">
        <v>156</v>
      </c>
    </row>
    <row r="81949" spans="4:4">
      <c r="D81949" t="s">
        <v>156</v>
      </c>
    </row>
    <row r="81950" spans="4:4">
      <c r="D81950" t="s">
        <v>156</v>
      </c>
    </row>
    <row r="81951" spans="4:4">
      <c r="D81951" t="s">
        <v>156</v>
      </c>
    </row>
    <row r="81952" spans="4:4">
      <c r="D81952" t="s">
        <v>156</v>
      </c>
    </row>
    <row r="81953" spans="4:4">
      <c r="D81953" t="s">
        <v>156</v>
      </c>
    </row>
    <row r="81954" spans="4:4">
      <c r="D81954" t="s">
        <v>156</v>
      </c>
    </row>
    <row r="81955" spans="4:4">
      <c r="D81955" t="s">
        <v>156</v>
      </c>
    </row>
    <row r="81956" spans="4:4">
      <c r="D81956" t="s">
        <v>156</v>
      </c>
    </row>
    <row r="81957" spans="4:4">
      <c r="D81957" t="s">
        <v>156</v>
      </c>
    </row>
    <row r="81958" spans="4:4">
      <c r="D81958" t="s">
        <v>156</v>
      </c>
    </row>
    <row r="81959" spans="4:4">
      <c r="D81959" t="s">
        <v>156</v>
      </c>
    </row>
    <row r="81960" spans="4:4">
      <c r="D81960" t="s">
        <v>156</v>
      </c>
    </row>
    <row r="81961" spans="4:4">
      <c r="D81961" t="s">
        <v>156</v>
      </c>
    </row>
    <row r="98304" spans="4:4">
      <c r="D98304" t="s">
        <v>155</v>
      </c>
    </row>
    <row r="98306" spans="4:4">
      <c r="D98306" t="s">
        <v>156</v>
      </c>
    </row>
    <row r="98307" spans="4:4">
      <c r="D98307" t="s">
        <v>156</v>
      </c>
    </row>
    <row r="98308" spans="4:4">
      <c r="D98308" t="s">
        <v>156</v>
      </c>
    </row>
    <row r="98309" spans="4:4">
      <c r="D98309" t="s">
        <v>156</v>
      </c>
    </row>
    <row r="98310" spans="4:4">
      <c r="D98310" t="s">
        <v>156</v>
      </c>
    </row>
    <row r="98311" spans="4:4">
      <c r="D98311" t="s">
        <v>156</v>
      </c>
    </row>
    <row r="98312" spans="4:4">
      <c r="D98312" t="s">
        <v>156</v>
      </c>
    </row>
    <row r="98313" spans="4:4">
      <c r="D98313" t="s">
        <v>156</v>
      </c>
    </row>
    <row r="98314" spans="4:4">
      <c r="D98314" t="s">
        <v>156</v>
      </c>
    </row>
    <row r="98315" spans="4:4">
      <c r="D98315" t="s">
        <v>156</v>
      </c>
    </row>
    <row r="98316" spans="4:4">
      <c r="D98316" t="s">
        <v>156</v>
      </c>
    </row>
    <row r="98317" spans="4:4">
      <c r="D98317" t="s">
        <v>156</v>
      </c>
    </row>
    <row r="98318" spans="4:4">
      <c r="D98318" t="s">
        <v>156</v>
      </c>
    </row>
    <row r="98319" spans="4:4">
      <c r="D98319" t="s">
        <v>156</v>
      </c>
    </row>
    <row r="98320" spans="4:4">
      <c r="D98320" t="s">
        <v>156</v>
      </c>
    </row>
    <row r="98321" spans="4:4">
      <c r="D98321" t="s">
        <v>156</v>
      </c>
    </row>
    <row r="98322" spans="4:4">
      <c r="D98322" t="s">
        <v>156</v>
      </c>
    </row>
    <row r="98323" spans="4:4">
      <c r="D98323" t="s">
        <v>156</v>
      </c>
    </row>
    <row r="98324" spans="4:4">
      <c r="D98324" t="s">
        <v>156</v>
      </c>
    </row>
    <row r="98325" spans="4:4">
      <c r="D98325" t="s">
        <v>156</v>
      </c>
    </row>
    <row r="98326" spans="4:4">
      <c r="D98326" t="s">
        <v>156</v>
      </c>
    </row>
    <row r="98327" spans="4:4">
      <c r="D98327" t="s">
        <v>156</v>
      </c>
    </row>
    <row r="98328" spans="4:4">
      <c r="D98328" t="s">
        <v>156</v>
      </c>
    </row>
    <row r="98329" spans="4:4">
      <c r="D98329" t="s">
        <v>156</v>
      </c>
    </row>
    <row r="98330" spans="4:4">
      <c r="D98330" t="s">
        <v>156</v>
      </c>
    </row>
    <row r="98331" spans="4:4">
      <c r="D98331" t="s">
        <v>156</v>
      </c>
    </row>
    <row r="98332" spans="4:4">
      <c r="D98332" t="s">
        <v>156</v>
      </c>
    </row>
    <row r="98333" spans="4:4">
      <c r="D98333" t="s">
        <v>156</v>
      </c>
    </row>
    <row r="98334" spans="4:4">
      <c r="D98334" t="s">
        <v>156</v>
      </c>
    </row>
    <row r="98335" spans="4:4">
      <c r="D98335" t="s">
        <v>156</v>
      </c>
    </row>
    <row r="98336" spans="4:4">
      <c r="D98336" t="s">
        <v>156</v>
      </c>
    </row>
    <row r="98337" spans="4:4">
      <c r="D98337" t="s">
        <v>156</v>
      </c>
    </row>
    <row r="98338" spans="4:4">
      <c r="D98338" t="s">
        <v>156</v>
      </c>
    </row>
    <row r="98339" spans="4:4">
      <c r="D98339" t="s">
        <v>156</v>
      </c>
    </row>
    <row r="98340" spans="4:4">
      <c r="D98340" t="s">
        <v>156</v>
      </c>
    </row>
    <row r="98341" spans="4:4">
      <c r="D98341" t="s">
        <v>156</v>
      </c>
    </row>
    <row r="98342" spans="4:4">
      <c r="D98342" t="s">
        <v>156</v>
      </c>
    </row>
    <row r="98343" spans="4:4">
      <c r="D98343" t="s">
        <v>156</v>
      </c>
    </row>
    <row r="98344" spans="4:4">
      <c r="D98344" t="s">
        <v>156</v>
      </c>
    </row>
    <row r="98345" spans="4:4">
      <c r="D98345" t="s">
        <v>156</v>
      </c>
    </row>
    <row r="114688" spans="4:4">
      <c r="D114688" t="s">
        <v>155</v>
      </c>
    </row>
    <row r="114690" spans="4:4">
      <c r="D114690" t="s">
        <v>156</v>
      </c>
    </row>
    <row r="114691" spans="4:4">
      <c r="D114691" t="s">
        <v>156</v>
      </c>
    </row>
    <row r="114692" spans="4:4">
      <c r="D114692" t="s">
        <v>156</v>
      </c>
    </row>
    <row r="114693" spans="4:4">
      <c r="D114693" t="s">
        <v>156</v>
      </c>
    </row>
    <row r="114694" spans="4:4">
      <c r="D114694" t="s">
        <v>156</v>
      </c>
    </row>
    <row r="114695" spans="4:4">
      <c r="D114695" t="s">
        <v>156</v>
      </c>
    </row>
    <row r="114696" spans="4:4">
      <c r="D114696" t="s">
        <v>156</v>
      </c>
    </row>
    <row r="114697" spans="4:4">
      <c r="D114697" t="s">
        <v>156</v>
      </c>
    </row>
    <row r="114698" spans="4:4">
      <c r="D114698" t="s">
        <v>156</v>
      </c>
    </row>
    <row r="114699" spans="4:4">
      <c r="D114699" t="s">
        <v>156</v>
      </c>
    </row>
    <row r="114700" spans="4:4">
      <c r="D114700" t="s">
        <v>156</v>
      </c>
    </row>
    <row r="114701" spans="4:4">
      <c r="D114701" t="s">
        <v>156</v>
      </c>
    </row>
    <row r="114702" spans="4:4">
      <c r="D114702" t="s">
        <v>156</v>
      </c>
    </row>
    <row r="114703" spans="4:4">
      <c r="D114703" t="s">
        <v>156</v>
      </c>
    </row>
    <row r="114704" spans="4:4">
      <c r="D114704" t="s">
        <v>156</v>
      </c>
    </row>
    <row r="114705" spans="4:4">
      <c r="D114705" t="s">
        <v>156</v>
      </c>
    </row>
    <row r="114706" spans="4:4">
      <c r="D114706" t="s">
        <v>156</v>
      </c>
    </row>
    <row r="114707" spans="4:4">
      <c r="D114707" t="s">
        <v>156</v>
      </c>
    </row>
    <row r="114708" spans="4:4">
      <c r="D114708" t="s">
        <v>156</v>
      </c>
    </row>
    <row r="114709" spans="4:4">
      <c r="D114709" t="s">
        <v>156</v>
      </c>
    </row>
    <row r="114710" spans="4:4">
      <c r="D114710" t="s">
        <v>156</v>
      </c>
    </row>
    <row r="114711" spans="4:4">
      <c r="D114711" t="s">
        <v>156</v>
      </c>
    </row>
    <row r="114712" spans="4:4">
      <c r="D114712" t="s">
        <v>156</v>
      </c>
    </row>
    <row r="114713" spans="4:4">
      <c r="D114713" t="s">
        <v>156</v>
      </c>
    </row>
    <row r="114714" spans="4:4">
      <c r="D114714" t="s">
        <v>156</v>
      </c>
    </row>
    <row r="114715" spans="4:4">
      <c r="D114715" t="s">
        <v>156</v>
      </c>
    </row>
    <row r="114716" spans="4:4">
      <c r="D114716" t="s">
        <v>156</v>
      </c>
    </row>
    <row r="114717" spans="4:4">
      <c r="D114717" t="s">
        <v>156</v>
      </c>
    </row>
    <row r="114718" spans="4:4">
      <c r="D114718" t="s">
        <v>156</v>
      </c>
    </row>
    <row r="114719" spans="4:4">
      <c r="D114719" t="s">
        <v>156</v>
      </c>
    </row>
    <row r="114720" spans="4:4">
      <c r="D114720" t="s">
        <v>156</v>
      </c>
    </row>
    <row r="114721" spans="4:4">
      <c r="D114721" t="s">
        <v>156</v>
      </c>
    </row>
    <row r="114722" spans="4:4">
      <c r="D114722" t="s">
        <v>156</v>
      </c>
    </row>
    <row r="114723" spans="4:4">
      <c r="D114723" t="s">
        <v>156</v>
      </c>
    </row>
    <row r="114724" spans="4:4">
      <c r="D114724" t="s">
        <v>156</v>
      </c>
    </row>
    <row r="114725" spans="4:4">
      <c r="D114725" t="s">
        <v>156</v>
      </c>
    </row>
    <row r="114726" spans="4:4">
      <c r="D114726" t="s">
        <v>156</v>
      </c>
    </row>
    <row r="114727" spans="4:4">
      <c r="D114727" t="s">
        <v>156</v>
      </c>
    </row>
    <row r="114728" spans="4:4">
      <c r="D114728" t="s">
        <v>156</v>
      </c>
    </row>
    <row r="114729" spans="4:4">
      <c r="D114729" t="s">
        <v>156</v>
      </c>
    </row>
    <row r="131072" spans="4:4">
      <c r="D131072" t="s">
        <v>155</v>
      </c>
    </row>
    <row r="131074" spans="4:4">
      <c r="D131074" t="s">
        <v>156</v>
      </c>
    </row>
    <row r="131075" spans="4:4">
      <c r="D131075" t="s">
        <v>156</v>
      </c>
    </row>
    <row r="131076" spans="4:4">
      <c r="D131076" t="s">
        <v>156</v>
      </c>
    </row>
    <row r="131077" spans="4:4">
      <c r="D131077" t="s">
        <v>156</v>
      </c>
    </row>
    <row r="131078" spans="4:4">
      <c r="D131078" t="s">
        <v>156</v>
      </c>
    </row>
    <row r="131079" spans="4:4">
      <c r="D131079" t="s">
        <v>156</v>
      </c>
    </row>
    <row r="131080" spans="4:4">
      <c r="D131080" t="s">
        <v>156</v>
      </c>
    </row>
    <row r="131081" spans="4:4">
      <c r="D131081" t="s">
        <v>156</v>
      </c>
    </row>
    <row r="131082" spans="4:4">
      <c r="D131082" t="s">
        <v>156</v>
      </c>
    </row>
    <row r="131083" spans="4:4">
      <c r="D131083" t="s">
        <v>156</v>
      </c>
    </row>
    <row r="131084" spans="4:4">
      <c r="D131084" t="s">
        <v>156</v>
      </c>
    </row>
    <row r="131085" spans="4:4">
      <c r="D131085" t="s">
        <v>156</v>
      </c>
    </row>
    <row r="131086" spans="4:4">
      <c r="D131086" t="s">
        <v>156</v>
      </c>
    </row>
    <row r="131087" spans="4:4">
      <c r="D131087" t="s">
        <v>156</v>
      </c>
    </row>
    <row r="131088" spans="4:4">
      <c r="D131088" t="s">
        <v>156</v>
      </c>
    </row>
    <row r="131089" spans="4:4">
      <c r="D131089" t="s">
        <v>156</v>
      </c>
    </row>
    <row r="131090" spans="4:4">
      <c r="D131090" t="s">
        <v>156</v>
      </c>
    </row>
    <row r="131091" spans="4:4">
      <c r="D131091" t="s">
        <v>156</v>
      </c>
    </row>
    <row r="131092" spans="4:4">
      <c r="D131092" t="s">
        <v>156</v>
      </c>
    </row>
    <row r="131093" spans="4:4">
      <c r="D131093" t="s">
        <v>156</v>
      </c>
    </row>
    <row r="131094" spans="4:4">
      <c r="D131094" t="s">
        <v>156</v>
      </c>
    </row>
    <row r="131095" spans="4:4">
      <c r="D131095" t="s">
        <v>156</v>
      </c>
    </row>
    <row r="131096" spans="4:4">
      <c r="D131096" t="s">
        <v>156</v>
      </c>
    </row>
    <row r="131097" spans="4:4">
      <c r="D131097" t="s">
        <v>156</v>
      </c>
    </row>
    <row r="131098" spans="4:4">
      <c r="D131098" t="s">
        <v>156</v>
      </c>
    </row>
    <row r="131099" spans="4:4">
      <c r="D131099" t="s">
        <v>156</v>
      </c>
    </row>
    <row r="131100" spans="4:4">
      <c r="D131100" t="s">
        <v>156</v>
      </c>
    </row>
    <row r="131101" spans="4:4">
      <c r="D131101" t="s">
        <v>156</v>
      </c>
    </row>
    <row r="131102" spans="4:4">
      <c r="D131102" t="s">
        <v>156</v>
      </c>
    </row>
    <row r="131103" spans="4:4">
      <c r="D131103" t="s">
        <v>156</v>
      </c>
    </row>
    <row r="131104" spans="4:4">
      <c r="D131104" t="s">
        <v>156</v>
      </c>
    </row>
    <row r="131105" spans="4:4">
      <c r="D131105" t="s">
        <v>156</v>
      </c>
    </row>
    <row r="131106" spans="4:4">
      <c r="D131106" t="s">
        <v>156</v>
      </c>
    </row>
    <row r="131107" spans="4:4">
      <c r="D131107" t="s">
        <v>156</v>
      </c>
    </row>
    <row r="131108" spans="4:4">
      <c r="D131108" t="s">
        <v>156</v>
      </c>
    </row>
    <row r="131109" spans="4:4">
      <c r="D131109" t="s">
        <v>156</v>
      </c>
    </row>
    <row r="131110" spans="4:4">
      <c r="D131110" t="s">
        <v>156</v>
      </c>
    </row>
    <row r="131111" spans="4:4">
      <c r="D131111" t="s">
        <v>156</v>
      </c>
    </row>
    <row r="131112" spans="4:4">
      <c r="D131112" t="s">
        <v>156</v>
      </c>
    </row>
    <row r="131113" spans="4:4">
      <c r="D131113" t="s">
        <v>156</v>
      </c>
    </row>
    <row r="147456" spans="4:4">
      <c r="D147456" t="s">
        <v>155</v>
      </c>
    </row>
    <row r="147458" spans="4:4">
      <c r="D147458" t="s">
        <v>156</v>
      </c>
    </row>
    <row r="147459" spans="4:4">
      <c r="D147459" t="s">
        <v>156</v>
      </c>
    </row>
    <row r="147460" spans="4:4">
      <c r="D147460" t="s">
        <v>156</v>
      </c>
    </row>
    <row r="147461" spans="4:4">
      <c r="D147461" t="s">
        <v>156</v>
      </c>
    </row>
    <row r="147462" spans="4:4">
      <c r="D147462" t="s">
        <v>156</v>
      </c>
    </row>
    <row r="147463" spans="4:4">
      <c r="D147463" t="s">
        <v>156</v>
      </c>
    </row>
    <row r="147464" spans="4:4">
      <c r="D147464" t="s">
        <v>156</v>
      </c>
    </row>
    <row r="147465" spans="4:4">
      <c r="D147465" t="s">
        <v>156</v>
      </c>
    </row>
    <row r="147466" spans="4:4">
      <c r="D147466" t="s">
        <v>156</v>
      </c>
    </row>
    <row r="147467" spans="4:4">
      <c r="D147467" t="s">
        <v>156</v>
      </c>
    </row>
    <row r="147468" spans="4:4">
      <c r="D147468" t="s">
        <v>156</v>
      </c>
    </row>
    <row r="147469" spans="4:4">
      <c r="D147469" t="s">
        <v>156</v>
      </c>
    </row>
    <row r="147470" spans="4:4">
      <c r="D147470" t="s">
        <v>156</v>
      </c>
    </row>
    <row r="147471" spans="4:4">
      <c r="D147471" t="s">
        <v>156</v>
      </c>
    </row>
    <row r="147472" spans="4:4">
      <c r="D147472" t="s">
        <v>156</v>
      </c>
    </row>
    <row r="147473" spans="4:4">
      <c r="D147473" t="s">
        <v>156</v>
      </c>
    </row>
    <row r="147474" spans="4:4">
      <c r="D147474" t="s">
        <v>156</v>
      </c>
    </row>
    <row r="147475" spans="4:4">
      <c r="D147475" t="s">
        <v>156</v>
      </c>
    </row>
    <row r="147476" spans="4:4">
      <c r="D147476" t="s">
        <v>156</v>
      </c>
    </row>
    <row r="147477" spans="4:4">
      <c r="D147477" t="s">
        <v>156</v>
      </c>
    </row>
    <row r="147478" spans="4:4">
      <c r="D147478" t="s">
        <v>156</v>
      </c>
    </row>
    <row r="147479" spans="4:4">
      <c r="D147479" t="s">
        <v>156</v>
      </c>
    </row>
    <row r="147480" spans="4:4">
      <c r="D147480" t="s">
        <v>156</v>
      </c>
    </row>
    <row r="147481" spans="4:4">
      <c r="D147481" t="s">
        <v>156</v>
      </c>
    </row>
    <row r="147482" spans="4:4">
      <c r="D147482" t="s">
        <v>156</v>
      </c>
    </row>
    <row r="147483" spans="4:4">
      <c r="D147483" t="s">
        <v>156</v>
      </c>
    </row>
    <row r="147484" spans="4:4">
      <c r="D147484" t="s">
        <v>156</v>
      </c>
    </row>
    <row r="147485" spans="4:4">
      <c r="D147485" t="s">
        <v>156</v>
      </c>
    </row>
    <row r="147486" spans="4:4">
      <c r="D147486" t="s">
        <v>156</v>
      </c>
    </row>
    <row r="147487" spans="4:4">
      <c r="D147487" t="s">
        <v>156</v>
      </c>
    </row>
    <row r="147488" spans="4:4">
      <c r="D147488" t="s">
        <v>156</v>
      </c>
    </row>
    <row r="147489" spans="4:4">
      <c r="D147489" t="s">
        <v>156</v>
      </c>
    </row>
    <row r="147490" spans="4:4">
      <c r="D147490" t="s">
        <v>156</v>
      </c>
    </row>
    <row r="147491" spans="4:4">
      <c r="D147491" t="s">
        <v>156</v>
      </c>
    </row>
    <row r="147492" spans="4:4">
      <c r="D147492" t="s">
        <v>156</v>
      </c>
    </row>
    <row r="147493" spans="4:4">
      <c r="D147493" t="s">
        <v>156</v>
      </c>
    </row>
    <row r="147494" spans="4:4">
      <c r="D147494" t="s">
        <v>156</v>
      </c>
    </row>
    <row r="147495" spans="4:4">
      <c r="D147495" t="s">
        <v>156</v>
      </c>
    </row>
    <row r="147496" spans="4:4">
      <c r="D147496" t="s">
        <v>156</v>
      </c>
    </row>
    <row r="147497" spans="4:4">
      <c r="D147497" t="s">
        <v>156</v>
      </c>
    </row>
    <row r="163840" spans="4:4">
      <c r="D163840" t="s">
        <v>155</v>
      </c>
    </row>
    <row r="163842" spans="4:4">
      <c r="D163842" t="s">
        <v>156</v>
      </c>
    </row>
    <row r="163843" spans="4:4">
      <c r="D163843" t="s">
        <v>156</v>
      </c>
    </row>
    <row r="163844" spans="4:4">
      <c r="D163844" t="s">
        <v>156</v>
      </c>
    </row>
    <row r="163845" spans="4:4">
      <c r="D163845" t="s">
        <v>156</v>
      </c>
    </row>
    <row r="163846" spans="4:4">
      <c r="D163846" t="s">
        <v>156</v>
      </c>
    </row>
    <row r="163847" spans="4:4">
      <c r="D163847" t="s">
        <v>156</v>
      </c>
    </row>
    <row r="163848" spans="4:4">
      <c r="D163848" t="s">
        <v>156</v>
      </c>
    </row>
    <row r="163849" spans="4:4">
      <c r="D163849" t="s">
        <v>156</v>
      </c>
    </row>
    <row r="163850" spans="4:4">
      <c r="D163850" t="s">
        <v>156</v>
      </c>
    </row>
    <row r="163851" spans="4:4">
      <c r="D163851" t="s">
        <v>156</v>
      </c>
    </row>
    <row r="163852" spans="4:4">
      <c r="D163852" t="s">
        <v>156</v>
      </c>
    </row>
    <row r="163853" spans="4:4">
      <c r="D163853" t="s">
        <v>156</v>
      </c>
    </row>
    <row r="163854" spans="4:4">
      <c r="D163854" t="s">
        <v>156</v>
      </c>
    </row>
    <row r="163855" spans="4:4">
      <c r="D163855" t="s">
        <v>156</v>
      </c>
    </row>
    <row r="163856" spans="4:4">
      <c r="D163856" t="s">
        <v>156</v>
      </c>
    </row>
    <row r="163857" spans="4:4">
      <c r="D163857" t="s">
        <v>156</v>
      </c>
    </row>
    <row r="163858" spans="4:4">
      <c r="D163858" t="s">
        <v>156</v>
      </c>
    </row>
    <row r="163859" spans="4:4">
      <c r="D163859" t="s">
        <v>156</v>
      </c>
    </row>
    <row r="163860" spans="4:4">
      <c r="D163860" t="s">
        <v>156</v>
      </c>
    </row>
    <row r="163861" spans="4:4">
      <c r="D163861" t="s">
        <v>156</v>
      </c>
    </row>
    <row r="163862" spans="4:4">
      <c r="D163862" t="s">
        <v>156</v>
      </c>
    </row>
    <row r="163863" spans="4:4">
      <c r="D163863" t="s">
        <v>156</v>
      </c>
    </row>
    <row r="163864" spans="4:4">
      <c r="D163864" t="s">
        <v>156</v>
      </c>
    </row>
    <row r="163865" spans="4:4">
      <c r="D163865" t="s">
        <v>156</v>
      </c>
    </row>
    <row r="163866" spans="4:4">
      <c r="D163866" t="s">
        <v>156</v>
      </c>
    </row>
    <row r="163867" spans="4:4">
      <c r="D163867" t="s">
        <v>156</v>
      </c>
    </row>
    <row r="163868" spans="4:4">
      <c r="D163868" t="s">
        <v>156</v>
      </c>
    </row>
    <row r="163869" spans="4:4">
      <c r="D163869" t="s">
        <v>156</v>
      </c>
    </row>
    <row r="163870" spans="4:4">
      <c r="D163870" t="s">
        <v>156</v>
      </c>
    </row>
    <row r="163871" spans="4:4">
      <c r="D163871" t="s">
        <v>156</v>
      </c>
    </row>
    <row r="163872" spans="4:4">
      <c r="D163872" t="s">
        <v>156</v>
      </c>
    </row>
    <row r="163873" spans="4:4">
      <c r="D163873" t="s">
        <v>156</v>
      </c>
    </row>
    <row r="163874" spans="4:4">
      <c r="D163874" t="s">
        <v>156</v>
      </c>
    </row>
    <row r="163875" spans="4:4">
      <c r="D163875" t="s">
        <v>156</v>
      </c>
    </row>
    <row r="163876" spans="4:4">
      <c r="D163876" t="s">
        <v>156</v>
      </c>
    </row>
    <row r="163877" spans="4:4">
      <c r="D163877" t="s">
        <v>156</v>
      </c>
    </row>
    <row r="163878" spans="4:4">
      <c r="D163878" t="s">
        <v>156</v>
      </c>
    </row>
    <row r="163879" spans="4:4">
      <c r="D163879" t="s">
        <v>156</v>
      </c>
    </row>
    <row r="163880" spans="4:4">
      <c r="D163880" t="s">
        <v>156</v>
      </c>
    </row>
    <row r="163881" spans="4:4">
      <c r="D163881" t="s">
        <v>156</v>
      </c>
    </row>
    <row r="180224" spans="4:4">
      <c r="D180224" t="s">
        <v>155</v>
      </c>
    </row>
    <row r="180226" spans="4:4">
      <c r="D180226" t="s">
        <v>156</v>
      </c>
    </row>
    <row r="180227" spans="4:4">
      <c r="D180227" t="s">
        <v>156</v>
      </c>
    </row>
    <row r="180228" spans="4:4">
      <c r="D180228" t="s">
        <v>156</v>
      </c>
    </row>
    <row r="180229" spans="4:4">
      <c r="D180229" t="s">
        <v>156</v>
      </c>
    </row>
    <row r="180230" spans="4:4">
      <c r="D180230" t="s">
        <v>156</v>
      </c>
    </row>
    <row r="180231" spans="4:4">
      <c r="D180231" t="s">
        <v>156</v>
      </c>
    </row>
    <row r="180232" spans="4:4">
      <c r="D180232" t="s">
        <v>156</v>
      </c>
    </row>
    <row r="180233" spans="4:4">
      <c r="D180233" t="s">
        <v>156</v>
      </c>
    </row>
    <row r="180234" spans="4:4">
      <c r="D180234" t="s">
        <v>156</v>
      </c>
    </row>
    <row r="180235" spans="4:4">
      <c r="D180235" t="s">
        <v>156</v>
      </c>
    </row>
    <row r="180236" spans="4:4">
      <c r="D180236" t="s">
        <v>156</v>
      </c>
    </row>
    <row r="180237" spans="4:4">
      <c r="D180237" t="s">
        <v>156</v>
      </c>
    </row>
    <row r="180238" spans="4:4">
      <c r="D180238" t="s">
        <v>156</v>
      </c>
    </row>
    <row r="180239" spans="4:4">
      <c r="D180239" t="s">
        <v>156</v>
      </c>
    </row>
    <row r="180240" spans="4:4">
      <c r="D180240" t="s">
        <v>156</v>
      </c>
    </row>
    <row r="180241" spans="4:4">
      <c r="D180241" t="s">
        <v>156</v>
      </c>
    </row>
    <row r="180242" spans="4:4">
      <c r="D180242" t="s">
        <v>156</v>
      </c>
    </row>
    <row r="180243" spans="4:4">
      <c r="D180243" t="s">
        <v>156</v>
      </c>
    </row>
    <row r="180244" spans="4:4">
      <c r="D180244" t="s">
        <v>156</v>
      </c>
    </row>
    <row r="180245" spans="4:4">
      <c r="D180245" t="s">
        <v>156</v>
      </c>
    </row>
    <row r="180246" spans="4:4">
      <c r="D180246" t="s">
        <v>156</v>
      </c>
    </row>
    <row r="180247" spans="4:4">
      <c r="D180247" t="s">
        <v>156</v>
      </c>
    </row>
    <row r="180248" spans="4:4">
      <c r="D180248" t="s">
        <v>156</v>
      </c>
    </row>
    <row r="180249" spans="4:4">
      <c r="D180249" t="s">
        <v>156</v>
      </c>
    </row>
    <row r="180250" spans="4:4">
      <c r="D180250" t="s">
        <v>156</v>
      </c>
    </row>
    <row r="180251" spans="4:4">
      <c r="D180251" t="s">
        <v>156</v>
      </c>
    </row>
    <row r="180252" spans="4:4">
      <c r="D180252" t="s">
        <v>156</v>
      </c>
    </row>
    <row r="180253" spans="4:4">
      <c r="D180253" t="s">
        <v>156</v>
      </c>
    </row>
    <row r="180254" spans="4:4">
      <c r="D180254" t="s">
        <v>156</v>
      </c>
    </row>
    <row r="180255" spans="4:4">
      <c r="D180255" t="s">
        <v>156</v>
      </c>
    </row>
    <row r="180256" spans="4:4">
      <c r="D180256" t="s">
        <v>156</v>
      </c>
    </row>
    <row r="180257" spans="4:4">
      <c r="D180257" t="s">
        <v>156</v>
      </c>
    </row>
    <row r="180258" spans="4:4">
      <c r="D180258" t="s">
        <v>156</v>
      </c>
    </row>
    <row r="180259" spans="4:4">
      <c r="D180259" t="s">
        <v>156</v>
      </c>
    </row>
    <row r="180260" spans="4:4">
      <c r="D180260" t="s">
        <v>156</v>
      </c>
    </row>
    <row r="180261" spans="4:4">
      <c r="D180261" t="s">
        <v>156</v>
      </c>
    </row>
    <row r="180262" spans="4:4">
      <c r="D180262" t="s">
        <v>156</v>
      </c>
    </row>
    <row r="180263" spans="4:4">
      <c r="D180263" t="s">
        <v>156</v>
      </c>
    </row>
    <row r="180264" spans="4:4">
      <c r="D180264" t="s">
        <v>156</v>
      </c>
    </row>
    <row r="180265" spans="4:4">
      <c r="D180265" t="s">
        <v>156</v>
      </c>
    </row>
    <row r="196608" spans="4:4">
      <c r="D196608" t="s">
        <v>155</v>
      </c>
    </row>
    <row r="196610" spans="4:4">
      <c r="D196610" t="s">
        <v>156</v>
      </c>
    </row>
    <row r="196611" spans="4:4">
      <c r="D196611" t="s">
        <v>156</v>
      </c>
    </row>
    <row r="196612" spans="4:4">
      <c r="D196612" t="s">
        <v>156</v>
      </c>
    </row>
    <row r="196613" spans="4:4">
      <c r="D196613" t="s">
        <v>156</v>
      </c>
    </row>
    <row r="196614" spans="4:4">
      <c r="D196614" t="s">
        <v>156</v>
      </c>
    </row>
    <row r="196615" spans="4:4">
      <c r="D196615" t="s">
        <v>156</v>
      </c>
    </row>
    <row r="196616" spans="4:4">
      <c r="D196616" t="s">
        <v>156</v>
      </c>
    </row>
    <row r="196617" spans="4:4">
      <c r="D196617" t="s">
        <v>156</v>
      </c>
    </row>
    <row r="196618" spans="4:4">
      <c r="D196618" t="s">
        <v>156</v>
      </c>
    </row>
    <row r="196619" spans="4:4">
      <c r="D196619" t="s">
        <v>156</v>
      </c>
    </row>
    <row r="196620" spans="4:4">
      <c r="D196620" t="s">
        <v>156</v>
      </c>
    </row>
    <row r="196621" spans="4:4">
      <c r="D196621" t="s">
        <v>156</v>
      </c>
    </row>
    <row r="196622" spans="4:4">
      <c r="D196622" t="s">
        <v>156</v>
      </c>
    </row>
    <row r="196623" spans="4:4">
      <c r="D196623" t="s">
        <v>156</v>
      </c>
    </row>
    <row r="196624" spans="4:4">
      <c r="D196624" t="s">
        <v>156</v>
      </c>
    </row>
    <row r="196625" spans="4:4">
      <c r="D196625" t="s">
        <v>156</v>
      </c>
    </row>
    <row r="196626" spans="4:4">
      <c r="D196626" t="s">
        <v>156</v>
      </c>
    </row>
    <row r="196627" spans="4:4">
      <c r="D196627" t="s">
        <v>156</v>
      </c>
    </row>
    <row r="196628" spans="4:4">
      <c r="D196628" t="s">
        <v>156</v>
      </c>
    </row>
    <row r="196629" spans="4:4">
      <c r="D196629" t="s">
        <v>156</v>
      </c>
    </row>
    <row r="196630" spans="4:4">
      <c r="D196630" t="s">
        <v>156</v>
      </c>
    </row>
    <row r="196631" spans="4:4">
      <c r="D196631" t="s">
        <v>156</v>
      </c>
    </row>
    <row r="196632" spans="4:4">
      <c r="D196632" t="s">
        <v>156</v>
      </c>
    </row>
    <row r="196633" spans="4:4">
      <c r="D196633" t="s">
        <v>156</v>
      </c>
    </row>
    <row r="196634" spans="4:4">
      <c r="D196634" t="s">
        <v>156</v>
      </c>
    </row>
    <row r="196635" spans="4:4">
      <c r="D196635" t="s">
        <v>156</v>
      </c>
    </row>
    <row r="196636" spans="4:4">
      <c r="D196636" t="s">
        <v>156</v>
      </c>
    </row>
    <row r="196637" spans="4:4">
      <c r="D196637" t="s">
        <v>156</v>
      </c>
    </row>
    <row r="196638" spans="4:4">
      <c r="D196638" t="s">
        <v>156</v>
      </c>
    </row>
    <row r="196639" spans="4:4">
      <c r="D196639" t="s">
        <v>156</v>
      </c>
    </row>
    <row r="196640" spans="4:4">
      <c r="D196640" t="s">
        <v>156</v>
      </c>
    </row>
    <row r="196641" spans="4:4">
      <c r="D196641" t="s">
        <v>156</v>
      </c>
    </row>
    <row r="196642" spans="4:4">
      <c r="D196642" t="s">
        <v>156</v>
      </c>
    </row>
    <row r="196643" spans="4:4">
      <c r="D196643" t="s">
        <v>156</v>
      </c>
    </row>
    <row r="196644" spans="4:4">
      <c r="D196644" t="s">
        <v>156</v>
      </c>
    </row>
    <row r="196645" spans="4:4">
      <c r="D196645" t="s">
        <v>156</v>
      </c>
    </row>
    <row r="196646" spans="4:4">
      <c r="D196646" t="s">
        <v>156</v>
      </c>
    </row>
    <row r="196647" spans="4:4">
      <c r="D196647" t="s">
        <v>156</v>
      </c>
    </row>
    <row r="196648" spans="4:4">
      <c r="D196648" t="s">
        <v>156</v>
      </c>
    </row>
    <row r="196649" spans="4:4">
      <c r="D196649" t="s">
        <v>156</v>
      </c>
    </row>
    <row r="212992" spans="4:4">
      <c r="D212992" t="s">
        <v>155</v>
      </c>
    </row>
    <row r="212994" spans="4:4">
      <c r="D212994" t="s">
        <v>156</v>
      </c>
    </row>
    <row r="212995" spans="4:4">
      <c r="D212995" t="s">
        <v>156</v>
      </c>
    </row>
    <row r="212996" spans="4:4">
      <c r="D212996" t="s">
        <v>156</v>
      </c>
    </row>
    <row r="212997" spans="4:4">
      <c r="D212997" t="s">
        <v>156</v>
      </c>
    </row>
    <row r="212998" spans="4:4">
      <c r="D212998" t="s">
        <v>156</v>
      </c>
    </row>
    <row r="212999" spans="4:4">
      <c r="D212999" t="s">
        <v>156</v>
      </c>
    </row>
    <row r="213000" spans="4:4">
      <c r="D213000" t="s">
        <v>156</v>
      </c>
    </row>
    <row r="213001" spans="4:4">
      <c r="D213001" t="s">
        <v>156</v>
      </c>
    </row>
    <row r="213002" spans="4:4">
      <c r="D213002" t="s">
        <v>156</v>
      </c>
    </row>
    <row r="213003" spans="4:4">
      <c r="D213003" t="s">
        <v>156</v>
      </c>
    </row>
    <row r="213004" spans="4:4">
      <c r="D213004" t="s">
        <v>156</v>
      </c>
    </row>
    <row r="213005" spans="4:4">
      <c r="D213005" t="s">
        <v>156</v>
      </c>
    </row>
    <row r="213006" spans="4:4">
      <c r="D213006" t="s">
        <v>156</v>
      </c>
    </row>
    <row r="213007" spans="4:4">
      <c r="D213007" t="s">
        <v>156</v>
      </c>
    </row>
    <row r="213008" spans="4:4">
      <c r="D213008" t="s">
        <v>156</v>
      </c>
    </row>
    <row r="213009" spans="4:4">
      <c r="D213009" t="s">
        <v>156</v>
      </c>
    </row>
    <row r="213010" spans="4:4">
      <c r="D213010" t="s">
        <v>156</v>
      </c>
    </row>
    <row r="213011" spans="4:4">
      <c r="D213011" t="s">
        <v>156</v>
      </c>
    </row>
    <row r="213012" spans="4:4">
      <c r="D213012" t="s">
        <v>156</v>
      </c>
    </row>
    <row r="213013" spans="4:4">
      <c r="D213013" t="s">
        <v>156</v>
      </c>
    </row>
    <row r="213014" spans="4:4">
      <c r="D213014" t="s">
        <v>156</v>
      </c>
    </row>
    <row r="213015" spans="4:4">
      <c r="D213015" t="s">
        <v>156</v>
      </c>
    </row>
    <row r="213016" spans="4:4">
      <c r="D213016" t="s">
        <v>156</v>
      </c>
    </row>
    <row r="213017" spans="4:4">
      <c r="D213017" t="s">
        <v>156</v>
      </c>
    </row>
    <row r="213018" spans="4:4">
      <c r="D213018" t="s">
        <v>156</v>
      </c>
    </row>
    <row r="213019" spans="4:4">
      <c r="D213019" t="s">
        <v>156</v>
      </c>
    </row>
    <row r="213020" spans="4:4">
      <c r="D213020" t="s">
        <v>156</v>
      </c>
    </row>
    <row r="213021" spans="4:4">
      <c r="D213021" t="s">
        <v>156</v>
      </c>
    </row>
    <row r="213022" spans="4:4">
      <c r="D213022" t="s">
        <v>156</v>
      </c>
    </row>
    <row r="213023" spans="4:4">
      <c r="D213023" t="s">
        <v>156</v>
      </c>
    </row>
    <row r="213024" spans="4:4">
      <c r="D213024" t="s">
        <v>156</v>
      </c>
    </row>
    <row r="213025" spans="4:4">
      <c r="D213025" t="s">
        <v>156</v>
      </c>
    </row>
    <row r="213026" spans="4:4">
      <c r="D213026" t="s">
        <v>156</v>
      </c>
    </row>
    <row r="213027" spans="4:4">
      <c r="D213027" t="s">
        <v>156</v>
      </c>
    </row>
    <row r="213028" spans="4:4">
      <c r="D213028" t="s">
        <v>156</v>
      </c>
    </row>
    <row r="213029" spans="4:4">
      <c r="D213029" t="s">
        <v>156</v>
      </c>
    </row>
    <row r="213030" spans="4:4">
      <c r="D213030" t="s">
        <v>156</v>
      </c>
    </row>
    <row r="213031" spans="4:4">
      <c r="D213031" t="s">
        <v>156</v>
      </c>
    </row>
    <row r="213032" spans="4:4">
      <c r="D213032" t="s">
        <v>156</v>
      </c>
    </row>
    <row r="213033" spans="4:4">
      <c r="D213033" t="s">
        <v>156</v>
      </c>
    </row>
    <row r="229376" spans="4:4">
      <c r="D229376" t="s">
        <v>155</v>
      </c>
    </row>
    <row r="229378" spans="4:4">
      <c r="D229378" t="s">
        <v>156</v>
      </c>
    </row>
    <row r="229379" spans="4:4">
      <c r="D229379" t="s">
        <v>156</v>
      </c>
    </row>
    <row r="229380" spans="4:4">
      <c r="D229380" t="s">
        <v>156</v>
      </c>
    </row>
    <row r="229381" spans="4:4">
      <c r="D229381" t="s">
        <v>156</v>
      </c>
    </row>
    <row r="229382" spans="4:4">
      <c r="D229382" t="s">
        <v>156</v>
      </c>
    </row>
    <row r="229383" spans="4:4">
      <c r="D229383" t="s">
        <v>156</v>
      </c>
    </row>
    <row r="229384" spans="4:4">
      <c r="D229384" t="s">
        <v>156</v>
      </c>
    </row>
    <row r="229385" spans="4:4">
      <c r="D229385" t="s">
        <v>156</v>
      </c>
    </row>
    <row r="229386" spans="4:4">
      <c r="D229386" t="s">
        <v>156</v>
      </c>
    </row>
    <row r="229387" spans="4:4">
      <c r="D229387" t="s">
        <v>156</v>
      </c>
    </row>
    <row r="229388" spans="4:4">
      <c r="D229388" t="s">
        <v>156</v>
      </c>
    </row>
    <row r="229389" spans="4:4">
      <c r="D229389" t="s">
        <v>156</v>
      </c>
    </row>
    <row r="229390" spans="4:4">
      <c r="D229390" t="s">
        <v>156</v>
      </c>
    </row>
    <row r="229391" spans="4:4">
      <c r="D229391" t="s">
        <v>156</v>
      </c>
    </row>
    <row r="229392" spans="4:4">
      <c r="D229392" t="s">
        <v>156</v>
      </c>
    </row>
    <row r="229393" spans="4:4">
      <c r="D229393" t="s">
        <v>156</v>
      </c>
    </row>
    <row r="229394" spans="4:4">
      <c r="D229394" t="s">
        <v>156</v>
      </c>
    </row>
    <row r="229395" spans="4:4">
      <c r="D229395" t="s">
        <v>156</v>
      </c>
    </row>
    <row r="229396" spans="4:4">
      <c r="D229396" t="s">
        <v>156</v>
      </c>
    </row>
    <row r="229397" spans="4:4">
      <c r="D229397" t="s">
        <v>156</v>
      </c>
    </row>
    <row r="229398" spans="4:4">
      <c r="D229398" t="s">
        <v>156</v>
      </c>
    </row>
    <row r="229399" spans="4:4">
      <c r="D229399" t="s">
        <v>156</v>
      </c>
    </row>
    <row r="229400" spans="4:4">
      <c r="D229400" t="s">
        <v>156</v>
      </c>
    </row>
    <row r="229401" spans="4:4">
      <c r="D229401" t="s">
        <v>156</v>
      </c>
    </row>
    <row r="229402" spans="4:4">
      <c r="D229402" t="s">
        <v>156</v>
      </c>
    </row>
    <row r="229403" spans="4:4">
      <c r="D229403" t="s">
        <v>156</v>
      </c>
    </row>
    <row r="229404" spans="4:4">
      <c r="D229404" t="s">
        <v>156</v>
      </c>
    </row>
    <row r="229405" spans="4:4">
      <c r="D229405" t="s">
        <v>156</v>
      </c>
    </row>
    <row r="229406" spans="4:4">
      <c r="D229406" t="s">
        <v>156</v>
      </c>
    </row>
    <row r="229407" spans="4:4">
      <c r="D229407" t="s">
        <v>156</v>
      </c>
    </row>
    <row r="229408" spans="4:4">
      <c r="D229408" t="s">
        <v>156</v>
      </c>
    </row>
    <row r="229409" spans="4:4">
      <c r="D229409" t="s">
        <v>156</v>
      </c>
    </row>
    <row r="229410" spans="4:4">
      <c r="D229410" t="s">
        <v>156</v>
      </c>
    </row>
    <row r="229411" spans="4:4">
      <c r="D229411" t="s">
        <v>156</v>
      </c>
    </row>
    <row r="229412" spans="4:4">
      <c r="D229412" t="s">
        <v>156</v>
      </c>
    </row>
    <row r="229413" spans="4:4">
      <c r="D229413" t="s">
        <v>156</v>
      </c>
    </row>
    <row r="229414" spans="4:4">
      <c r="D229414" t="s">
        <v>156</v>
      </c>
    </row>
    <row r="229415" spans="4:4">
      <c r="D229415" t="s">
        <v>156</v>
      </c>
    </row>
    <row r="229416" spans="4:4">
      <c r="D229416" t="s">
        <v>156</v>
      </c>
    </row>
    <row r="229417" spans="4:4">
      <c r="D229417" t="s">
        <v>156</v>
      </c>
    </row>
    <row r="245760" spans="4:4">
      <c r="D245760" t="s">
        <v>155</v>
      </c>
    </row>
    <row r="245762" spans="4:4">
      <c r="D245762" t="s">
        <v>156</v>
      </c>
    </row>
    <row r="245763" spans="4:4">
      <c r="D245763" t="s">
        <v>156</v>
      </c>
    </row>
    <row r="245764" spans="4:4">
      <c r="D245764" t="s">
        <v>156</v>
      </c>
    </row>
    <row r="245765" spans="4:4">
      <c r="D245765" t="s">
        <v>156</v>
      </c>
    </row>
    <row r="245766" spans="4:4">
      <c r="D245766" t="s">
        <v>156</v>
      </c>
    </row>
    <row r="245767" spans="4:4">
      <c r="D245767" t="s">
        <v>156</v>
      </c>
    </row>
    <row r="245768" spans="4:4">
      <c r="D245768" t="s">
        <v>156</v>
      </c>
    </row>
    <row r="245769" spans="4:4">
      <c r="D245769" t="s">
        <v>156</v>
      </c>
    </row>
    <row r="245770" spans="4:4">
      <c r="D245770" t="s">
        <v>156</v>
      </c>
    </row>
    <row r="245771" spans="4:4">
      <c r="D245771" t="s">
        <v>156</v>
      </c>
    </row>
    <row r="245772" spans="4:4">
      <c r="D245772" t="s">
        <v>156</v>
      </c>
    </row>
    <row r="245773" spans="4:4">
      <c r="D245773" t="s">
        <v>156</v>
      </c>
    </row>
    <row r="245774" spans="4:4">
      <c r="D245774" t="s">
        <v>156</v>
      </c>
    </row>
    <row r="245775" spans="4:4">
      <c r="D245775" t="s">
        <v>156</v>
      </c>
    </row>
    <row r="245776" spans="4:4">
      <c r="D245776" t="s">
        <v>156</v>
      </c>
    </row>
    <row r="245777" spans="4:4">
      <c r="D245777" t="s">
        <v>156</v>
      </c>
    </row>
    <row r="245778" spans="4:4">
      <c r="D245778" t="s">
        <v>156</v>
      </c>
    </row>
    <row r="245779" spans="4:4">
      <c r="D245779" t="s">
        <v>156</v>
      </c>
    </row>
    <row r="245780" spans="4:4">
      <c r="D245780" t="s">
        <v>156</v>
      </c>
    </row>
    <row r="245781" spans="4:4">
      <c r="D245781" t="s">
        <v>156</v>
      </c>
    </row>
    <row r="245782" spans="4:4">
      <c r="D245782" t="s">
        <v>156</v>
      </c>
    </row>
    <row r="245783" spans="4:4">
      <c r="D245783" t="s">
        <v>156</v>
      </c>
    </row>
    <row r="245784" spans="4:4">
      <c r="D245784" t="s">
        <v>156</v>
      </c>
    </row>
    <row r="245785" spans="4:4">
      <c r="D245785" t="s">
        <v>156</v>
      </c>
    </row>
    <row r="245786" spans="4:4">
      <c r="D245786" t="s">
        <v>156</v>
      </c>
    </row>
    <row r="245787" spans="4:4">
      <c r="D245787" t="s">
        <v>156</v>
      </c>
    </row>
    <row r="245788" spans="4:4">
      <c r="D245788" t="s">
        <v>156</v>
      </c>
    </row>
    <row r="245789" spans="4:4">
      <c r="D245789" t="s">
        <v>156</v>
      </c>
    </row>
    <row r="245790" spans="4:4">
      <c r="D245790" t="s">
        <v>156</v>
      </c>
    </row>
    <row r="245791" spans="4:4">
      <c r="D245791" t="s">
        <v>156</v>
      </c>
    </row>
    <row r="245792" spans="4:4">
      <c r="D245792" t="s">
        <v>156</v>
      </c>
    </row>
    <row r="245793" spans="4:4">
      <c r="D245793" t="s">
        <v>156</v>
      </c>
    </row>
    <row r="245794" spans="4:4">
      <c r="D245794" t="s">
        <v>156</v>
      </c>
    </row>
    <row r="245795" spans="4:4">
      <c r="D245795" t="s">
        <v>156</v>
      </c>
    </row>
    <row r="245796" spans="4:4">
      <c r="D245796" t="s">
        <v>156</v>
      </c>
    </row>
    <row r="245797" spans="4:4">
      <c r="D245797" t="s">
        <v>156</v>
      </c>
    </row>
    <row r="245798" spans="4:4">
      <c r="D245798" t="s">
        <v>156</v>
      </c>
    </row>
    <row r="245799" spans="4:4">
      <c r="D245799" t="s">
        <v>156</v>
      </c>
    </row>
    <row r="245800" spans="4:4">
      <c r="D245800" t="s">
        <v>156</v>
      </c>
    </row>
    <row r="245801" spans="4:4">
      <c r="D245801" t="s">
        <v>156</v>
      </c>
    </row>
    <row r="262144" spans="4:4">
      <c r="D262144" t="s">
        <v>155</v>
      </c>
    </row>
    <row r="262146" spans="4:4">
      <c r="D262146" t="s">
        <v>156</v>
      </c>
    </row>
    <row r="262147" spans="4:4">
      <c r="D262147" t="s">
        <v>156</v>
      </c>
    </row>
    <row r="262148" spans="4:4">
      <c r="D262148" t="s">
        <v>156</v>
      </c>
    </row>
    <row r="262149" spans="4:4">
      <c r="D262149" t="s">
        <v>156</v>
      </c>
    </row>
    <row r="262150" spans="4:4">
      <c r="D262150" t="s">
        <v>156</v>
      </c>
    </row>
    <row r="262151" spans="4:4">
      <c r="D262151" t="s">
        <v>156</v>
      </c>
    </row>
    <row r="262152" spans="4:4">
      <c r="D262152" t="s">
        <v>156</v>
      </c>
    </row>
    <row r="262153" spans="4:4">
      <c r="D262153" t="s">
        <v>156</v>
      </c>
    </row>
    <row r="262154" spans="4:4">
      <c r="D262154" t="s">
        <v>156</v>
      </c>
    </row>
    <row r="262155" spans="4:4">
      <c r="D262155" t="s">
        <v>156</v>
      </c>
    </row>
    <row r="262156" spans="4:4">
      <c r="D262156" t="s">
        <v>156</v>
      </c>
    </row>
    <row r="262157" spans="4:4">
      <c r="D262157" t="s">
        <v>156</v>
      </c>
    </row>
    <row r="262158" spans="4:4">
      <c r="D262158" t="s">
        <v>156</v>
      </c>
    </row>
    <row r="262159" spans="4:4">
      <c r="D262159" t="s">
        <v>156</v>
      </c>
    </row>
    <row r="262160" spans="4:4">
      <c r="D262160" t="s">
        <v>156</v>
      </c>
    </row>
    <row r="262161" spans="4:4">
      <c r="D262161" t="s">
        <v>156</v>
      </c>
    </row>
    <row r="262162" spans="4:4">
      <c r="D262162" t="s">
        <v>156</v>
      </c>
    </row>
    <row r="262163" spans="4:4">
      <c r="D262163" t="s">
        <v>156</v>
      </c>
    </row>
    <row r="262164" spans="4:4">
      <c r="D262164" t="s">
        <v>156</v>
      </c>
    </row>
    <row r="262165" spans="4:4">
      <c r="D262165" t="s">
        <v>156</v>
      </c>
    </row>
    <row r="262166" spans="4:4">
      <c r="D262166" t="s">
        <v>156</v>
      </c>
    </row>
    <row r="262167" spans="4:4">
      <c r="D262167" t="s">
        <v>156</v>
      </c>
    </row>
    <row r="262168" spans="4:4">
      <c r="D262168" t="s">
        <v>156</v>
      </c>
    </row>
    <row r="262169" spans="4:4">
      <c r="D262169" t="s">
        <v>156</v>
      </c>
    </row>
    <row r="262170" spans="4:4">
      <c r="D262170" t="s">
        <v>156</v>
      </c>
    </row>
    <row r="262171" spans="4:4">
      <c r="D262171" t="s">
        <v>156</v>
      </c>
    </row>
    <row r="262172" spans="4:4">
      <c r="D262172" t="s">
        <v>156</v>
      </c>
    </row>
    <row r="262173" spans="4:4">
      <c r="D262173" t="s">
        <v>156</v>
      </c>
    </row>
    <row r="262174" spans="4:4">
      <c r="D262174" t="s">
        <v>156</v>
      </c>
    </row>
    <row r="262175" spans="4:4">
      <c r="D262175" t="s">
        <v>156</v>
      </c>
    </row>
    <row r="262176" spans="4:4">
      <c r="D262176" t="s">
        <v>156</v>
      </c>
    </row>
    <row r="262177" spans="4:4">
      <c r="D262177" t="s">
        <v>156</v>
      </c>
    </row>
    <row r="262178" spans="4:4">
      <c r="D262178" t="s">
        <v>156</v>
      </c>
    </row>
    <row r="262179" spans="4:4">
      <c r="D262179" t="s">
        <v>156</v>
      </c>
    </row>
    <row r="262180" spans="4:4">
      <c r="D262180" t="s">
        <v>156</v>
      </c>
    </row>
    <row r="262181" spans="4:4">
      <c r="D262181" t="s">
        <v>156</v>
      </c>
    </row>
    <row r="262182" spans="4:4">
      <c r="D262182" t="s">
        <v>156</v>
      </c>
    </row>
    <row r="262183" spans="4:4">
      <c r="D262183" t="s">
        <v>156</v>
      </c>
    </row>
    <row r="262184" spans="4:4">
      <c r="D262184" t="s">
        <v>156</v>
      </c>
    </row>
    <row r="262185" spans="4:4">
      <c r="D262185" t="s">
        <v>156</v>
      </c>
    </row>
    <row r="278528" spans="4:4">
      <c r="D278528" t="s">
        <v>155</v>
      </c>
    </row>
    <row r="278530" spans="4:4">
      <c r="D278530" t="s">
        <v>156</v>
      </c>
    </row>
    <row r="278531" spans="4:4">
      <c r="D278531" t="s">
        <v>156</v>
      </c>
    </row>
    <row r="278532" spans="4:4">
      <c r="D278532" t="s">
        <v>156</v>
      </c>
    </row>
    <row r="278533" spans="4:4">
      <c r="D278533" t="s">
        <v>156</v>
      </c>
    </row>
    <row r="278534" spans="4:4">
      <c r="D278534" t="s">
        <v>156</v>
      </c>
    </row>
    <row r="278535" spans="4:4">
      <c r="D278535" t="s">
        <v>156</v>
      </c>
    </row>
    <row r="278536" spans="4:4">
      <c r="D278536" t="s">
        <v>156</v>
      </c>
    </row>
    <row r="278537" spans="4:4">
      <c r="D278537" t="s">
        <v>156</v>
      </c>
    </row>
    <row r="278538" spans="4:4">
      <c r="D278538" t="s">
        <v>156</v>
      </c>
    </row>
    <row r="278539" spans="4:4">
      <c r="D278539" t="s">
        <v>156</v>
      </c>
    </row>
    <row r="278540" spans="4:4">
      <c r="D278540" t="s">
        <v>156</v>
      </c>
    </row>
    <row r="278541" spans="4:4">
      <c r="D278541" t="s">
        <v>156</v>
      </c>
    </row>
    <row r="278542" spans="4:4">
      <c r="D278542" t="s">
        <v>156</v>
      </c>
    </row>
    <row r="278543" spans="4:4">
      <c r="D278543" t="s">
        <v>156</v>
      </c>
    </row>
    <row r="278544" spans="4:4">
      <c r="D278544" t="s">
        <v>156</v>
      </c>
    </row>
    <row r="278545" spans="4:4">
      <c r="D278545" t="s">
        <v>156</v>
      </c>
    </row>
    <row r="278546" spans="4:4">
      <c r="D278546" t="s">
        <v>156</v>
      </c>
    </row>
    <row r="278547" spans="4:4">
      <c r="D278547" t="s">
        <v>156</v>
      </c>
    </row>
    <row r="278548" spans="4:4">
      <c r="D278548" t="s">
        <v>156</v>
      </c>
    </row>
    <row r="278549" spans="4:4">
      <c r="D278549" t="s">
        <v>156</v>
      </c>
    </row>
    <row r="278550" spans="4:4">
      <c r="D278550" t="s">
        <v>156</v>
      </c>
    </row>
    <row r="278551" spans="4:4">
      <c r="D278551" t="s">
        <v>156</v>
      </c>
    </row>
    <row r="278552" spans="4:4">
      <c r="D278552" t="s">
        <v>156</v>
      </c>
    </row>
    <row r="278553" spans="4:4">
      <c r="D278553" t="s">
        <v>156</v>
      </c>
    </row>
    <row r="278554" spans="4:4">
      <c r="D278554" t="s">
        <v>156</v>
      </c>
    </row>
    <row r="278555" spans="4:4">
      <c r="D278555" t="s">
        <v>156</v>
      </c>
    </row>
    <row r="278556" spans="4:4">
      <c r="D278556" t="s">
        <v>156</v>
      </c>
    </row>
    <row r="278557" spans="4:4">
      <c r="D278557" t="s">
        <v>156</v>
      </c>
    </row>
    <row r="278558" spans="4:4">
      <c r="D278558" t="s">
        <v>156</v>
      </c>
    </row>
    <row r="278559" spans="4:4">
      <c r="D278559" t="s">
        <v>156</v>
      </c>
    </row>
    <row r="278560" spans="4:4">
      <c r="D278560" t="s">
        <v>156</v>
      </c>
    </row>
    <row r="278561" spans="4:4">
      <c r="D278561" t="s">
        <v>156</v>
      </c>
    </row>
    <row r="278562" spans="4:4">
      <c r="D278562" t="s">
        <v>156</v>
      </c>
    </row>
    <row r="278563" spans="4:4">
      <c r="D278563" t="s">
        <v>156</v>
      </c>
    </row>
    <row r="278564" spans="4:4">
      <c r="D278564" t="s">
        <v>156</v>
      </c>
    </row>
    <row r="278565" spans="4:4">
      <c r="D278565" t="s">
        <v>156</v>
      </c>
    </row>
    <row r="278566" spans="4:4">
      <c r="D278566" t="s">
        <v>156</v>
      </c>
    </row>
    <row r="278567" spans="4:4">
      <c r="D278567" t="s">
        <v>156</v>
      </c>
    </row>
    <row r="278568" spans="4:4">
      <c r="D278568" t="s">
        <v>156</v>
      </c>
    </row>
    <row r="278569" spans="4:4">
      <c r="D278569" t="s">
        <v>156</v>
      </c>
    </row>
    <row r="294912" spans="4:4">
      <c r="D294912" t="s">
        <v>155</v>
      </c>
    </row>
    <row r="294914" spans="4:4">
      <c r="D294914" t="s">
        <v>156</v>
      </c>
    </row>
    <row r="294915" spans="4:4">
      <c r="D294915" t="s">
        <v>156</v>
      </c>
    </row>
    <row r="294916" spans="4:4">
      <c r="D294916" t="s">
        <v>156</v>
      </c>
    </row>
    <row r="294917" spans="4:4">
      <c r="D294917" t="s">
        <v>156</v>
      </c>
    </row>
    <row r="294918" spans="4:4">
      <c r="D294918" t="s">
        <v>156</v>
      </c>
    </row>
    <row r="294919" spans="4:4">
      <c r="D294919" t="s">
        <v>156</v>
      </c>
    </row>
    <row r="294920" spans="4:4">
      <c r="D294920" t="s">
        <v>156</v>
      </c>
    </row>
    <row r="294921" spans="4:4">
      <c r="D294921" t="s">
        <v>156</v>
      </c>
    </row>
    <row r="294922" spans="4:4">
      <c r="D294922" t="s">
        <v>156</v>
      </c>
    </row>
    <row r="294923" spans="4:4">
      <c r="D294923" t="s">
        <v>156</v>
      </c>
    </row>
    <row r="294924" spans="4:4">
      <c r="D294924" t="s">
        <v>156</v>
      </c>
    </row>
    <row r="294925" spans="4:4">
      <c r="D294925" t="s">
        <v>156</v>
      </c>
    </row>
    <row r="294926" spans="4:4">
      <c r="D294926" t="s">
        <v>156</v>
      </c>
    </row>
    <row r="294927" spans="4:4">
      <c r="D294927" t="s">
        <v>156</v>
      </c>
    </row>
    <row r="294928" spans="4:4">
      <c r="D294928" t="s">
        <v>156</v>
      </c>
    </row>
    <row r="294929" spans="4:4">
      <c r="D294929" t="s">
        <v>156</v>
      </c>
    </row>
    <row r="294930" spans="4:4">
      <c r="D294930" t="s">
        <v>156</v>
      </c>
    </row>
    <row r="294931" spans="4:4">
      <c r="D294931" t="s">
        <v>156</v>
      </c>
    </row>
    <row r="294932" spans="4:4">
      <c r="D294932" t="s">
        <v>156</v>
      </c>
    </row>
    <row r="294933" spans="4:4">
      <c r="D294933" t="s">
        <v>156</v>
      </c>
    </row>
    <row r="294934" spans="4:4">
      <c r="D294934" t="s">
        <v>156</v>
      </c>
    </row>
    <row r="294935" spans="4:4">
      <c r="D294935" t="s">
        <v>156</v>
      </c>
    </row>
    <row r="294936" spans="4:4">
      <c r="D294936" t="s">
        <v>156</v>
      </c>
    </row>
    <row r="294937" spans="4:4">
      <c r="D294937" t="s">
        <v>156</v>
      </c>
    </row>
    <row r="294938" spans="4:4">
      <c r="D294938" t="s">
        <v>156</v>
      </c>
    </row>
    <row r="294939" spans="4:4">
      <c r="D294939" t="s">
        <v>156</v>
      </c>
    </row>
    <row r="294940" spans="4:4">
      <c r="D294940" t="s">
        <v>156</v>
      </c>
    </row>
    <row r="294941" spans="4:4">
      <c r="D294941" t="s">
        <v>156</v>
      </c>
    </row>
    <row r="294942" spans="4:4">
      <c r="D294942" t="s">
        <v>156</v>
      </c>
    </row>
    <row r="294943" spans="4:4">
      <c r="D294943" t="s">
        <v>156</v>
      </c>
    </row>
    <row r="294944" spans="4:4">
      <c r="D294944" t="s">
        <v>156</v>
      </c>
    </row>
    <row r="294945" spans="4:4">
      <c r="D294945" t="s">
        <v>156</v>
      </c>
    </row>
    <row r="294946" spans="4:4">
      <c r="D294946" t="s">
        <v>156</v>
      </c>
    </row>
    <row r="294947" spans="4:4">
      <c r="D294947" t="s">
        <v>156</v>
      </c>
    </row>
    <row r="294948" spans="4:4">
      <c r="D294948" t="s">
        <v>156</v>
      </c>
    </row>
    <row r="294949" spans="4:4">
      <c r="D294949" t="s">
        <v>156</v>
      </c>
    </row>
    <row r="294950" spans="4:4">
      <c r="D294950" t="s">
        <v>156</v>
      </c>
    </row>
    <row r="294951" spans="4:4">
      <c r="D294951" t="s">
        <v>156</v>
      </c>
    </row>
    <row r="294952" spans="4:4">
      <c r="D294952" t="s">
        <v>156</v>
      </c>
    </row>
    <row r="294953" spans="4:4">
      <c r="D294953" t="s">
        <v>156</v>
      </c>
    </row>
    <row r="311296" spans="4:4">
      <c r="D311296" t="s">
        <v>155</v>
      </c>
    </row>
    <row r="311298" spans="4:4">
      <c r="D311298" t="s">
        <v>156</v>
      </c>
    </row>
    <row r="311299" spans="4:4">
      <c r="D311299" t="s">
        <v>156</v>
      </c>
    </row>
    <row r="311300" spans="4:4">
      <c r="D311300" t="s">
        <v>156</v>
      </c>
    </row>
    <row r="311301" spans="4:4">
      <c r="D311301" t="s">
        <v>156</v>
      </c>
    </row>
    <row r="311302" spans="4:4">
      <c r="D311302" t="s">
        <v>156</v>
      </c>
    </row>
    <row r="311303" spans="4:4">
      <c r="D311303" t="s">
        <v>156</v>
      </c>
    </row>
    <row r="311304" spans="4:4">
      <c r="D311304" t="s">
        <v>156</v>
      </c>
    </row>
    <row r="311305" spans="4:4">
      <c r="D311305" t="s">
        <v>156</v>
      </c>
    </row>
    <row r="311306" spans="4:4">
      <c r="D311306" t="s">
        <v>156</v>
      </c>
    </row>
    <row r="311307" spans="4:4">
      <c r="D311307" t="s">
        <v>156</v>
      </c>
    </row>
    <row r="311308" spans="4:4">
      <c r="D311308" t="s">
        <v>156</v>
      </c>
    </row>
    <row r="311309" spans="4:4">
      <c r="D311309" t="s">
        <v>156</v>
      </c>
    </row>
    <row r="311310" spans="4:4">
      <c r="D311310" t="s">
        <v>156</v>
      </c>
    </row>
    <row r="311311" spans="4:4">
      <c r="D311311" t="s">
        <v>156</v>
      </c>
    </row>
    <row r="311312" spans="4:4">
      <c r="D311312" t="s">
        <v>156</v>
      </c>
    </row>
    <row r="311313" spans="4:4">
      <c r="D311313" t="s">
        <v>156</v>
      </c>
    </row>
    <row r="311314" spans="4:4">
      <c r="D311314" t="s">
        <v>156</v>
      </c>
    </row>
    <row r="311315" spans="4:4">
      <c r="D311315" t="s">
        <v>156</v>
      </c>
    </row>
    <row r="311316" spans="4:4">
      <c r="D311316" t="s">
        <v>156</v>
      </c>
    </row>
    <row r="311317" spans="4:4">
      <c r="D311317" t="s">
        <v>156</v>
      </c>
    </row>
    <row r="311318" spans="4:4">
      <c r="D311318" t="s">
        <v>156</v>
      </c>
    </row>
    <row r="311319" spans="4:4">
      <c r="D311319" t="s">
        <v>156</v>
      </c>
    </row>
    <row r="311320" spans="4:4">
      <c r="D311320" t="s">
        <v>156</v>
      </c>
    </row>
    <row r="311321" spans="4:4">
      <c r="D311321" t="s">
        <v>156</v>
      </c>
    </row>
    <row r="311322" spans="4:4">
      <c r="D311322" t="s">
        <v>156</v>
      </c>
    </row>
    <row r="311323" spans="4:4">
      <c r="D311323" t="s">
        <v>156</v>
      </c>
    </row>
    <row r="311324" spans="4:4">
      <c r="D311324" t="s">
        <v>156</v>
      </c>
    </row>
    <row r="311325" spans="4:4">
      <c r="D311325" t="s">
        <v>156</v>
      </c>
    </row>
    <row r="311326" spans="4:4">
      <c r="D311326" t="s">
        <v>156</v>
      </c>
    </row>
    <row r="311327" spans="4:4">
      <c r="D311327" t="s">
        <v>156</v>
      </c>
    </row>
    <row r="311328" spans="4:4">
      <c r="D311328" t="s">
        <v>156</v>
      </c>
    </row>
    <row r="311329" spans="4:4">
      <c r="D311329" t="s">
        <v>156</v>
      </c>
    </row>
    <row r="311330" spans="4:4">
      <c r="D311330" t="s">
        <v>156</v>
      </c>
    </row>
    <row r="311331" spans="4:4">
      <c r="D311331" t="s">
        <v>156</v>
      </c>
    </row>
    <row r="311332" spans="4:4">
      <c r="D311332" t="s">
        <v>156</v>
      </c>
    </row>
    <row r="311333" spans="4:4">
      <c r="D311333" t="s">
        <v>156</v>
      </c>
    </row>
    <row r="311334" spans="4:4">
      <c r="D311334" t="s">
        <v>156</v>
      </c>
    </row>
    <row r="311335" spans="4:4">
      <c r="D311335" t="s">
        <v>156</v>
      </c>
    </row>
    <row r="311336" spans="4:4">
      <c r="D311336" t="s">
        <v>156</v>
      </c>
    </row>
    <row r="311337" spans="4:4">
      <c r="D311337" t="s">
        <v>156</v>
      </c>
    </row>
    <row r="327680" spans="4:4">
      <c r="D327680" t="s">
        <v>155</v>
      </c>
    </row>
    <row r="327682" spans="4:4">
      <c r="D327682" t="s">
        <v>156</v>
      </c>
    </row>
    <row r="327683" spans="4:4">
      <c r="D327683" t="s">
        <v>156</v>
      </c>
    </row>
    <row r="327684" spans="4:4">
      <c r="D327684" t="s">
        <v>156</v>
      </c>
    </row>
    <row r="327685" spans="4:4">
      <c r="D327685" t="s">
        <v>156</v>
      </c>
    </row>
    <row r="327686" spans="4:4">
      <c r="D327686" t="s">
        <v>156</v>
      </c>
    </row>
    <row r="327687" spans="4:4">
      <c r="D327687" t="s">
        <v>156</v>
      </c>
    </row>
    <row r="327688" spans="4:4">
      <c r="D327688" t="s">
        <v>156</v>
      </c>
    </row>
    <row r="327689" spans="4:4">
      <c r="D327689" t="s">
        <v>156</v>
      </c>
    </row>
    <row r="327690" spans="4:4">
      <c r="D327690" t="s">
        <v>156</v>
      </c>
    </row>
    <row r="327691" spans="4:4">
      <c r="D327691" t="s">
        <v>156</v>
      </c>
    </row>
    <row r="327692" spans="4:4">
      <c r="D327692" t="s">
        <v>156</v>
      </c>
    </row>
    <row r="327693" spans="4:4">
      <c r="D327693" t="s">
        <v>156</v>
      </c>
    </row>
    <row r="327694" spans="4:4">
      <c r="D327694" t="s">
        <v>156</v>
      </c>
    </row>
    <row r="327695" spans="4:4">
      <c r="D327695" t="s">
        <v>156</v>
      </c>
    </row>
    <row r="327696" spans="4:4">
      <c r="D327696" t="s">
        <v>156</v>
      </c>
    </row>
    <row r="327697" spans="4:4">
      <c r="D327697" t="s">
        <v>156</v>
      </c>
    </row>
    <row r="327698" spans="4:4">
      <c r="D327698" t="s">
        <v>156</v>
      </c>
    </row>
    <row r="327699" spans="4:4">
      <c r="D327699" t="s">
        <v>156</v>
      </c>
    </row>
    <row r="327700" spans="4:4">
      <c r="D327700" t="s">
        <v>156</v>
      </c>
    </row>
    <row r="327701" spans="4:4">
      <c r="D327701" t="s">
        <v>156</v>
      </c>
    </row>
    <row r="327702" spans="4:4">
      <c r="D327702" t="s">
        <v>156</v>
      </c>
    </row>
    <row r="327703" spans="4:4">
      <c r="D327703" t="s">
        <v>156</v>
      </c>
    </row>
    <row r="327704" spans="4:4">
      <c r="D327704" t="s">
        <v>156</v>
      </c>
    </row>
    <row r="327705" spans="4:4">
      <c r="D327705" t="s">
        <v>156</v>
      </c>
    </row>
    <row r="327706" spans="4:4">
      <c r="D327706" t="s">
        <v>156</v>
      </c>
    </row>
    <row r="327707" spans="4:4">
      <c r="D327707" t="s">
        <v>156</v>
      </c>
    </row>
    <row r="327708" spans="4:4">
      <c r="D327708" t="s">
        <v>156</v>
      </c>
    </row>
    <row r="327709" spans="4:4">
      <c r="D327709" t="s">
        <v>156</v>
      </c>
    </row>
    <row r="327710" spans="4:4">
      <c r="D327710" t="s">
        <v>156</v>
      </c>
    </row>
    <row r="327711" spans="4:4">
      <c r="D327711" t="s">
        <v>156</v>
      </c>
    </row>
    <row r="327712" spans="4:4">
      <c r="D327712" t="s">
        <v>156</v>
      </c>
    </row>
    <row r="327713" spans="4:4">
      <c r="D327713" t="s">
        <v>156</v>
      </c>
    </row>
    <row r="327714" spans="4:4">
      <c r="D327714" t="s">
        <v>156</v>
      </c>
    </row>
    <row r="327715" spans="4:4">
      <c r="D327715" t="s">
        <v>156</v>
      </c>
    </row>
    <row r="327716" spans="4:4">
      <c r="D327716" t="s">
        <v>156</v>
      </c>
    </row>
    <row r="327717" spans="4:4">
      <c r="D327717" t="s">
        <v>156</v>
      </c>
    </row>
    <row r="327718" spans="4:4">
      <c r="D327718" t="s">
        <v>156</v>
      </c>
    </row>
    <row r="327719" spans="4:4">
      <c r="D327719" t="s">
        <v>156</v>
      </c>
    </row>
    <row r="327720" spans="4:4">
      <c r="D327720" t="s">
        <v>156</v>
      </c>
    </row>
    <row r="327721" spans="4:4">
      <c r="D327721" t="s">
        <v>156</v>
      </c>
    </row>
    <row r="344064" spans="4:4">
      <c r="D344064" t="s">
        <v>155</v>
      </c>
    </row>
    <row r="344066" spans="4:4">
      <c r="D344066" t="s">
        <v>156</v>
      </c>
    </row>
    <row r="344067" spans="4:4">
      <c r="D344067" t="s">
        <v>156</v>
      </c>
    </row>
    <row r="344068" spans="4:4">
      <c r="D344068" t="s">
        <v>156</v>
      </c>
    </row>
    <row r="344069" spans="4:4">
      <c r="D344069" t="s">
        <v>156</v>
      </c>
    </row>
    <row r="344070" spans="4:4">
      <c r="D344070" t="s">
        <v>156</v>
      </c>
    </row>
    <row r="344071" spans="4:4">
      <c r="D344071" t="s">
        <v>156</v>
      </c>
    </row>
    <row r="344072" spans="4:4">
      <c r="D344072" t="s">
        <v>156</v>
      </c>
    </row>
    <row r="344073" spans="4:4">
      <c r="D344073" t="s">
        <v>156</v>
      </c>
    </row>
    <row r="344074" spans="4:4">
      <c r="D344074" t="s">
        <v>156</v>
      </c>
    </row>
    <row r="344075" spans="4:4">
      <c r="D344075" t="s">
        <v>156</v>
      </c>
    </row>
    <row r="344076" spans="4:4">
      <c r="D344076" t="s">
        <v>156</v>
      </c>
    </row>
    <row r="344077" spans="4:4">
      <c r="D344077" t="s">
        <v>156</v>
      </c>
    </row>
    <row r="344078" spans="4:4">
      <c r="D344078" t="s">
        <v>156</v>
      </c>
    </row>
    <row r="344079" spans="4:4">
      <c r="D344079" t="s">
        <v>156</v>
      </c>
    </row>
    <row r="344080" spans="4:4">
      <c r="D344080" t="s">
        <v>156</v>
      </c>
    </row>
    <row r="344081" spans="4:4">
      <c r="D344081" t="s">
        <v>156</v>
      </c>
    </row>
    <row r="344082" spans="4:4">
      <c r="D344082" t="s">
        <v>156</v>
      </c>
    </row>
    <row r="344083" spans="4:4">
      <c r="D344083" t="s">
        <v>156</v>
      </c>
    </row>
    <row r="344084" spans="4:4">
      <c r="D344084" t="s">
        <v>156</v>
      </c>
    </row>
    <row r="344085" spans="4:4">
      <c r="D344085" t="s">
        <v>156</v>
      </c>
    </row>
    <row r="344086" spans="4:4">
      <c r="D344086" t="s">
        <v>156</v>
      </c>
    </row>
    <row r="344087" spans="4:4">
      <c r="D344087" t="s">
        <v>156</v>
      </c>
    </row>
    <row r="344088" spans="4:4">
      <c r="D344088" t="s">
        <v>156</v>
      </c>
    </row>
    <row r="344089" spans="4:4">
      <c r="D344089" t="s">
        <v>156</v>
      </c>
    </row>
    <row r="344090" spans="4:4">
      <c r="D344090" t="s">
        <v>156</v>
      </c>
    </row>
    <row r="344091" spans="4:4">
      <c r="D344091" t="s">
        <v>156</v>
      </c>
    </row>
    <row r="344092" spans="4:4">
      <c r="D344092" t="s">
        <v>156</v>
      </c>
    </row>
    <row r="344093" spans="4:4">
      <c r="D344093" t="s">
        <v>156</v>
      </c>
    </row>
    <row r="344094" spans="4:4">
      <c r="D344094" t="s">
        <v>156</v>
      </c>
    </row>
    <row r="344095" spans="4:4">
      <c r="D344095" t="s">
        <v>156</v>
      </c>
    </row>
    <row r="344096" spans="4:4">
      <c r="D344096" t="s">
        <v>156</v>
      </c>
    </row>
    <row r="344097" spans="4:4">
      <c r="D344097" t="s">
        <v>156</v>
      </c>
    </row>
    <row r="344098" spans="4:4">
      <c r="D344098" t="s">
        <v>156</v>
      </c>
    </row>
    <row r="344099" spans="4:4">
      <c r="D344099" t="s">
        <v>156</v>
      </c>
    </row>
    <row r="344100" spans="4:4">
      <c r="D344100" t="s">
        <v>156</v>
      </c>
    </row>
    <row r="344101" spans="4:4">
      <c r="D344101" t="s">
        <v>156</v>
      </c>
    </row>
    <row r="344102" spans="4:4">
      <c r="D344102" t="s">
        <v>156</v>
      </c>
    </row>
    <row r="344103" spans="4:4">
      <c r="D344103" t="s">
        <v>156</v>
      </c>
    </row>
    <row r="344104" spans="4:4">
      <c r="D344104" t="s">
        <v>156</v>
      </c>
    </row>
    <row r="344105" spans="4:4">
      <c r="D344105" t="s">
        <v>156</v>
      </c>
    </row>
    <row r="360448" spans="4:4">
      <c r="D360448" t="s">
        <v>155</v>
      </c>
    </row>
    <row r="360450" spans="4:4">
      <c r="D360450" t="s">
        <v>156</v>
      </c>
    </row>
    <row r="360451" spans="4:4">
      <c r="D360451" t="s">
        <v>156</v>
      </c>
    </row>
    <row r="360452" spans="4:4">
      <c r="D360452" t="s">
        <v>156</v>
      </c>
    </row>
    <row r="360453" spans="4:4">
      <c r="D360453" t="s">
        <v>156</v>
      </c>
    </row>
    <row r="360454" spans="4:4">
      <c r="D360454" t="s">
        <v>156</v>
      </c>
    </row>
    <row r="360455" spans="4:4">
      <c r="D360455" t="s">
        <v>156</v>
      </c>
    </row>
    <row r="360456" spans="4:4">
      <c r="D360456" t="s">
        <v>156</v>
      </c>
    </row>
    <row r="360457" spans="4:4">
      <c r="D360457" t="s">
        <v>156</v>
      </c>
    </row>
    <row r="360458" spans="4:4">
      <c r="D360458" t="s">
        <v>156</v>
      </c>
    </row>
    <row r="360459" spans="4:4">
      <c r="D360459" t="s">
        <v>156</v>
      </c>
    </row>
    <row r="360460" spans="4:4">
      <c r="D360460" t="s">
        <v>156</v>
      </c>
    </row>
    <row r="360461" spans="4:4">
      <c r="D360461" t="s">
        <v>156</v>
      </c>
    </row>
    <row r="360462" spans="4:4">
      <c r="D360462" t="s">
        <v>156</v>
      </c>
    </row>
    <row r="360463" spans="4:4">
      <c r="D360463" t="s">
        <v>156</v>
      </c>
    </row>
    <row r="360464" spans="4:4">
      <c r="D360464" t="s">
        <v>156</v>
      </c>
    </row>
    <row r="360465" spans="4:4">
      <c r="D360465" t="s">
        <v>156</v>
      </c>
    </row>
    <row r="360466" spans="4:4">
      <c r="D360466" t="s">
        <v>156</v>
      </c>
    </row>
    <row r="360467" spans="4:4">
      <c r="D360467" t="s">
        <v>156</v>
      </c>
    </row>
    <row r="360468" spans="4:4">
      <c r="D360468" t="s">
        <v>156</v>
      </c>
    </row>
    <row r="360469" spans="4:4">
      <c r="D360469" t="s">
        <v>156</v>
      </c>
    </row>
    <row r="360470" spans="4:4">
      <c r="D360470" t="s">
        <v>156</v>
      </c>
    </row>
    <row r="360471" spans="4:4">
      <c r="D360471" t="s">
        <v>156</v>
      </c>
    </row>
    <row r="360472" spans="4:4">
      <c r="D360472" t="s">
        <v>156</v>
      </c>
    </row>
    <row r="360473" spans="4:4">
      <c r="D360473" t="s">
        <v>156</v>
      </c>
    </row>
    <row r="360474" spans="4:4">
      <c r="D360474" t="s">
        <v>156</v>
      </c>
    </row>
    <row r="360475" spans="4:4">
      <c r="D360475" t="s">
        <v>156</v>
      </c>
    </row>
    <row r="360476" spans="4:4">
      <c r="D360476" t="s">
        <v>156</v>
      </c>
    </row>
    <row r="360477" spans="4:4">
      <c r="D360477" t="s">
        <v>156</v>
      </c>
    </row>
    <row r="360478" spans="4:4">
      <c r="D360478" t="s">
        <v>156</v>
      </c>
    </row>
    <row r="360479" spans="4:4">
      <c r="D360479" t="s">
        <v>156</v>
      </c>
    </row>
    <row r="360480" spans="4:4">
      <c r="D360480" t="s">
        <v>156</v>
      </c>
    </row>
    <row r="360481" spans="4:4">
      <c r="D360481" t="s">
        <v>156</v>
      </c>
    </row>
    <row r="360482" spans="4:4">
      <c r="D360482" t="s">
        <v>156</v>
      </c>
    </row>
    <row r="360483" spans="4:4">
      <c r="D360483" t="s">
        <v>156</v>
      </c>
    </row>
    <row r="360484" spans="4:4">
      <c r="D360484" t="s">
        <v>156</v>
      </c>
    </row>
    <row r="360485" spans="4:4">
      <c r="D360485" t="s">
        <v>156</v>
      </c>
    </row>
    <row r="360486" spans="4:4">
      <c r="D360486" t="s">
        <v>156</v>
      </c>
    </row>
    <row r="360487" spans="4:4">
      <c r="D360487" t="s">
        <v>156</v>
      </c>
    </row>
    <row r="360488" spans="4:4">
      <c r="D360488" t="s">
        <v>156</v>
      </c>
    </row>
    <row r="360489" spans="4:4">
      <c r="D360489" t="s">
        <v>156</v>
      </c>
    </row>
    <row r="376832" spans="4:4">
      <c r="D376832" t="s">
        <v>155</v>
      </c>
    </row>
    <row r="376834" spans="4:4">
      <c r="D376834" t="s">
        <v>156</v>
      </c>
    </row>
    <row r="376835" spans="4:4">
      <c r="D376835" t="s">
        <v>156</v>
      </c>
    </row>
    <row r="376836" spans="4:4">
      <c r="D376836" t="s">
        <v>156</v>
      </c>
    </row>
    <row r="376837" spans="4:4">
      <c r="D376837" t="s">
        <v>156</v>
      </c>
    </row>
    <row r="376838" spans="4:4">
      <c r="D376838" t="s">
        <v>156</v>
      </c>
    </row>
    <row r="376839" spans="4:4">
      <c r="D376839" t="s">
        <v>156</v>
      </c>
    </row>
    <row r="376840" spans="4:4">
      <c r="D376840" t="s">
        <v>156</v>
      </c>
    </row>
    <row r="376841" spans="4:4">
      <c r="D376841" t="s">
        <v>156</v>
      </c>
    </row>
    <row r="376842" spans="4:4">
      <c r="D376842" t="s">
        <v>156</v>
      </c>
    </row>
    <row r="376843" spans="4:4">
      <c r="D376843" t="s">
        <v>156</v>
      </c>
    </row>
    <row r="376844" spans="4:4">
      <c r="D376844" t="s">
        <v>156</v>
      </c>
    </row>
    <row r="376845" spans="4:4">
      <c r="D376845" t="s">
        <v>156</v>
      </c>
    </row>
    <row r="376846" spans="4:4">
      <c r="D376846" t="s">
        <v>156</v>
      </c>
    </row>
    <row r="376847" spans="4:4">
      <c r="D376847" t="s">
        <v>156</v>
      </c>
    </row>
    <row r="376848" spans="4:4">
      <c r="D376848" t="s">
        <v>156</v>
      </c>
    </row>
    <row r="376849" spans="4:4">
      <c r="D376849" t="s">
        <v>156</v>
      </c>
    </row>
    <row r="376850" spans="4:4">
      <c r="D376850" t="s">
        <v>156</v>
      </c>
    </row>
    <row r="376851" spans="4:4">
      <c r="D376851" t="s">
        <v>156</v>
      </c>
    </row>
    <row r="376852" spans="4:4">
      <c r="D376852" t="s">
        <v>156</v>
      </c>
    </row>
    <row r="376853" spans="4:4">
      <c r="D376853" t="s">
        <v>156</v>
      </c>
    </row>
    <row r="376854" spans="4:4">
      <c r="D376854" t="s">
        <v>156</v>
      </c>
    </row>
    <row r="376855" spans="4:4">
      <c r="D376855" t="s">
        <v>156</v>
      </c>
    </row>
    <row r="376856" spans="4:4">
      <c r="D376856" t="s">
        <v>156</v>
      </c>
    </row>
    <row r="376857" spans="4:4">
      <c r="D376857" t="s">
        <v>156</v>
      </c>
    </row>
    <row r="376858" spans="4:4">
      <c r="D376858" t="s">
        <v>156</v>
      </c>
    </row>
    <row r="376859" spans="4:4">
      <c r="D376859" t="s">
        <v>156</v>
      </c>
    </row>
    <row r="376860" spans="4:4">
      <c r="D376860" t="s">
        <v>156</v>
      </c>
    </row>
    <row r="376861" spans="4:4">
      <c r="D376861" t="s">
        <v>156</v>
      </c>
    </row>
    <row r="376862" spans="4:4">
      <c r="D376862" t="s">
        <v>156</v>
      </c>
    </row>
    <row r="376863" spans="4:4">
      <c r="D376863" t="s">
        <v>156</v>
      </c>
    </row>
    <row r="376864" spans="4:4">
      <c r="D376864" t="s">
        <v>156</v>
      </c>
    </row>
    <row r="376865" spans="4:4">
      <c r="D376865" t="s">
        <v>156</v>
      </c>
    </row>
    <row r="376866" spans="4:4">
      <c r="D376866" t="s">
        <v>156</v>
      </c>
    </row>
    <row r="376867" spans="4:4">
      <c r="D376867" t="s">
        <v>156</v>
      </c>
    </row>
    <row r="376868" spans="4:4">
      <c r="D376868" t="s">
        <v>156</v>
      </c>
    </row>
    <row r="376869" spans="4:4">
      <c r="D376869" t="s">
        <v>156</v>
      </c>
    </row>
    <row r="376870" spans="4:4">
      <c r="D376870" t="s">
        <v>156</v>
      </c>
    </row>
    <row r="376871" spans="4:4">
      <c r="D376871" t="s">
        <v>156</v>
      </c>
    </row>
    <row r="376872" spans="4:4">
      <c r="D376872" t="s">
        <v>156</v>
      </c>
    </row>
    <row r="376873" spans="4:4">
      <c r="D376873" t="s">
        <v>156</v>
      </c>
    </row>
    <row r="393216" spans="4:4">
      <c r="D393216" t="s">
        <v>155</v>
      </c>
    </row>
    <row r="393218" spans="4:4">
      <c r="D393218" t="s">
        <v>156</v>
      </c>
    </row>
    <row r="393219" spans="4:4">
      <c r="D393219" t="s">
        <v>156</v>
      </c>
    </row>
    <row r="393220" spans="4:4">
      <c r="D393220" t="s">
        <v>156</v>
      </c>
    </row>
    <row r="393221" spans="4:4">
      <c r="D393221" t="s">
        <v>156</v>
      </c>
    </row>
    <row r="393222" spans="4:4">
      <c r="D393222" t="s">
        <v>156</v>
      </c>
    </row>
    <row r="393223" spans="4:4">
      <c r="D393223" t="s">
        <v>156</v>
      </c>
    </row>
    <row r="393224" spans="4:4">
      <c r="D393224" t="s">
        <v>156</v>
      </c>
    </row>
    <row r="393225" spans="4:4">
      <c r="D393225" t="s">
        <v>156</v>
      </c>
    </row>
    <row r="393226" spans="4:4">
      <c r="D393226" t="s">
        <v>156</v>
      </c>
    </row>
    <row r="393227" spans="4:4">
      <c r="D393227" t="s">
        <v>156</v>
      </c>
    </row>
    <row r="393228" spans="4:4">
      <c r="D393228" t="s">
        <v>156</v>
      </c>
    </row>
    <row r="393229" spans="4:4">
      <c r="D393229" t="s">
        <v>156</v>
      </c>
    </row>
    <row r="393230" spans="4:4">
      <c r="D393230" t="s">
        <v>156</v>
      </c>
    </row>
    <row r="393231" spans="4:4">
      <c r="D393231" t="s">
        <v>156</v>
      </c>
    </row>
    <row r="393232" spans="4:4">
      <c r="D393232" t="s">
        <v>156</v>
      </c>
    </row>
    <row r="393233" spans="4:4">
      <c r="D393233" t="s">
        <v>156</v>
      </c>
    </row>
    <row r="393234" spans="4:4">
      <c r="D393234" t="s">
        <v>156</v>
      </c>
    </row>
    <row r="393235" spans="4:4">
      <c r="D393235" t="s">
        <v>156</v>
      </c>
    </row>
    <row r="393236" spans="4:4">
      <c r="D393236" t="s">
        <v>156</v>
      </c>
    </row>
    <row r="393237" spans="4:4">
      <c r="D393237" t="s">
        <v>156</v>
      </c>
    </row>
    <row r="393238" spans="4:4">
      <c r="D393238" t="s">
        <v>156</v>
      </c>
    </row>
    <row r="393239" spans="4:4">
      <c r="D393239" t="s">
        <v>156</v>
      </c>
    </row>
    <row r="393240" spans="4:4">
      <c r="D393240" t="s">
        <v>156</v>
      </c>
    </row>
    <row r="393241" spans="4:4">
      <c r="D393241" t="s">
        <v>156</v>
      </c>
    </row>
    <row r="393242" spans="4:4">
      <c r="D393242" t="s">
        <v>156</v>
      </c>
    </row>
    <row r="393243" spans="4:4">
      <c r="D393243" t="s">
        <v>156</v>
      </c>
    </row>
    <row r="393244" spans="4:4">
      <c r="D393244" t="s">
        <v>156</v>
      </c>
    </row>
    <row r="393245" spans="4:4">
      <c r="D393245" t="s">
        <v>156</v>
      </c>
    </row>
    <row r="393246" spans="4:4">
      <c r="D393246" t="s">
        <v>156</v>
      </c>
    </row>
    <row r="393247" spans="4:4">
      <c r="D393247" t="s">
        <v>156</v>
      </c>
    </row>
    <row r="393248" spans="4:4">
      <c r="D393248" t="s">
        <v>156</v>
      </c>
    </row>
    <row r="393249" spans="4:4">
      <c r="D393249" t="s">
        <v>156</v>
      </c>
    </row>
    <row r="393250" spans="4:4">
      <c r="D393250" t="s">
        <v>156</v>
      </c>
    </row>
    <row r="393251" spans="4:4">
      <c r="D393251" t="s">
        <v>156</v>
      </c>
    </row>
    <row r="393252" spans="4:4">
      <c r="D393252" t="s">
        <v>156</v>
      </c>
    </row>
    <row r="393253" spans="4:4">
      <c r="D393253" t="s">
        <v>156</v>
      </c>
    </row>
    <row r="393254" spans="4:4">
      <c r="D393254" t="s">
        <v>156</v>
      </c>
    </row>
    <row r="393255" spans="4:4">
      <c r="D393255" t="s">
        <v>156</v>
      </c>
    </row>
    <row r="393256" spans="4:4">
      <c r="D393256" t="s">
        <v>156</v>
      </c>
    </row>
    <row r="393257" spans="4:4">
      <c r="D393257" t="s">
        <v>156</v>
      </c>
    </row>
    <row r="409600" spans="4:4">
      <c r="D409600" t="s">
        <v>155</v>
      </c>
    </row>
    <row r="409602" spans="4:4">
      <c r="D409602" t="s">
        <v>156</v>
      </c>
    </row>
    <row r="409603" spans="4:4">
      <c r="D409603" t="s">
        <v>156</v>
      </c>
    </row>
    <row r="409604" spans="4:4">
      <c r="D409604" t="s">
        <v>156</v>
      </c>
    </row>
    <row r="409605" spans="4:4">
      <c r="D409605" t="s">
        <v>156</v>
      </c>
    </row>
    <row r="409606" spans="4:4">
      <c r="D409606" t="s">
        <v>156</v>
      </c>
    </row>
    <row r="409607" spans="4:4">
      <c r="D409607" t="s">
        <v>156</v>
      </c>
    </row>
    <row r="409608" spans="4:4">
      <c r="D409608" t="s">
        <v>156</v>
      </c>
    </row>
    <row r="409609" spans="4:4">
      <c r="D409609" t="s">
        <v>156</v>
      </c>
    </row>
    <row r="409610" spans="4:4">
      <c r="D409610" t="s">
        <v>156</v>
      </c>
    </row>
    <row r="409611" spans="4:4">
      <c r="D409611" t="s">
        <v>156</v>
      </c>
    </row>
    <row r="409612" spans="4:4">
      <c r="D409612" t="s">
        <v>156</v>
      </c>
    </row>
    <row r="409613" spans="4:4">
      <c r="D409613" t="s">
        <v>156</v>
      </c>
    </row>
    <row r="409614" spans="4:4">
      <c r="D409614" t="s">
        <v>156</v>
      </c>
    </row>
    <row r="409615" spans="4:4">
      <c r="D409615" t="s">
        <v>156</v>
      </c>
    </row>
    <row r="409616" spans="4:4">
      <c r="D409616" t="s">
        <v>156</v>
      </c>
    </row>
    <row r="409617" spans="4:4">
      <c r="D409617" t="s">
        <v>156</v>
      </c>
    </row>
    <row r="409618" spans="4:4">
      <c r="D409618" t="s">
        <v>156</v>
      </c>
    </row>
    <row r="409619" spans="4:4">
      <c r="D409619" t="s">
        <v>156</v>
      </c>
    </row>
    <row r="409620" spans="4:4">
      <c r="D409620" t="s">
        <v>156</v>
      </c>
    </row>
    <row r="409621" spans="4:4">
      <c r="D409621" t="s">
        <v>156</v>
      </c>
    </row>
    <row r="409622" spans="4:4">
      <c r="D409622" t="s">
        <v>156</v>
      </c>
    </row>
    <row r="409623" spans="4:4">
      <c r="D409623" t="s">
        <v>156</v>
      </c>
    </row>
    <row r="409624" spans="4:4">
      <c r="D409624" t="s">
        <v>156</v>
      </c>
    </row>
    <row r="409625" spans="4:4">
      <c r="D409625" t="s">
        <v>156</v>
      </c>
    </row>
    <row r="409626" spans="4:4">
      <c r="D409626" t="s">
        <v>156</v>
      </c>
    </row>
    <row r="409627" spans="4:4">
      <c r="D409627" t="s">
        <v>156</v>
      </c>
    </row>
    <row r="409628" spans="4:4">
      <c r="D409628" t="s">
        <v>156</v>
      </c>
    </row>
    <row r="409629" spans="4:4">
      <c r="D409629" t="s">
        <v>156</v>
      </c>
    </row>
    <row r="409630" spans="4:4">
      <c r="D409630" t="s">
        <v>156</v>
      </c>
    </row>
    <row r="409631" spans="4:4">
      <c r="D409631" t="s">
        <v>156</v>
      </c>
    </row>
    <row r="409632" spans="4:4">
      <c r="D409632" t="s">
        <v>156</v>
      </c>
    </row>
    <row r="409633" spans="4:4">
      <c r="D409633" t="s">
        <v>156</v>
      </c>
    </row>
    <row r="409634" spans="4:4">
      <c r="D409634" t="s">
        <v>156</v>
      </c>
    </row>
    <row r="409635" spans="4:4">
      <c r="D409635" t="s">
        <v>156</v>
      </c>
    </row>
    <row r="409636" spans="4:4">
      <c r="D409636" t="s">
        <v>156</v>
      </c>
    </row>
    <row r="409637" spans="4:4">
      <c r="D409637" t="s">
        <v>156</v>
      </c>
    </row>
    <row r="409638" spans="4:4">
      <c r="D409638" t="s">
        <v>156</v>
      </c>
    </row>
    <row r="409639" spans="4:4">
      <c r="D409639" t="s">
        <v>156</v>
      </c>
    </row>
    <row r="409640" spans="4:4">
      <c r="D409640" t="s">
        <v>156</v>
      </c>
    </row>
    <row r="409641" spans="4:4">
      <c r="D409641" t="s">
        <v>156</v>
      </c>
    </row>
    <row r="425984" spans="4:4">
      <c r="D425984" t="s">
        <v>155</v>
      </c>
    </row>
    <row r="425986" spans="4:4">
      <c r="D425986" t="s">
        <v>156</v>
      </c>
    </row>
    <row r="425987" spans="4:4">
      <c r="D425987" t="s">
        <v>156</v>
      </c>
    </row>
    <row r="425988" spans="4:4">
      <c r="D425988" t="s">
        <v>156</v>
      </c>
    </row>
    <row r="425989" spans="4:4">
      <c r="D425989" t="s">
        <v>156</v>
      </c>
    </row>
    <row r="425990" spans="4:4">
      <c r="D425990" t="s">
        <v>156</v>
      </c>
    </row>
    <row r="425991" spans="4:4">
      <c r="D425991" t="s">
        <v>156</v>
      </c>
    </row>
    <row r="425992" spans="4:4">
      <c r="D425992" t="s">
        <v>156</v>
      </c>
    </row>
    <row r="425993" spans="4:4">
      <c r="D425993" t="s">
        <v>156</v>
      </c>
    </row>
    <row r="425994" spans="4:4">
      <c r="D425994" t="s">
        <v>156</v>
      </c>
    </row>
    <row r="425995" spans="4:4">
      <c r="D425995" t="s">
        <v>156</v>
      </c>
    </row>
    <row r="425996" spans="4:4">
      <c r="D425996" t="s">
        <v>156</v>
      </c>
    </row>
    <row r="425997" spans="4:4">
      <c r="D425997" t="s">
        <v>156</v>
      </c>
    </row>
    <row r="425998" spans="4:4">
      <c r="D425998" t="s">
        <v>156</v>
      </c>
    </row>
    <row r="425999" spans="4:4">
      <c r="D425999" t="s">
        <v>156</v>
      </c>
    </row>
    <row r="426000" spans="4:4">
      <c r="D426000" t="s">
        <v>156</v>
      </c>
    </row>
    <row r="426001" spans="4:4">
      <c r="D426001" t="s">
        <v>156</v>
      </c>
    </row>
    <row r="426002" spans="4:4">
      <c r="D426002" t="s">
        <v>156</v>
      </c>
    </row>
    <row r="426003" spans="4:4">
      <c r="D426003" t="s">
        <v>156</v>
      </c>
    </row>
    <row r="426004" spans="4:4">
      <c r="D426004" t="s">
        <v>156</v>
      </c>
    </row>
    <row r="426005" spans="4:4">
      <c r="D426005" t="s">
        <v>156</v>
      </c>
    </row>
    <row r="426006" spans="4:4">
      <c r="D426006" t="s">
        <v>156</v>
      </c>
    </row>
    <row r="426007" spans="4:4">
      <c r="D426007" t="s">
        <v>156</v>
      </c>
    </row>
    <row r="426008" spans="4:4">
      <c r="D426008" t="s">
        <v>156</v>
      </c>
    </row>
    <row r="426009" spans="4:4">
      <c r="D426009" t="s">
        <v>156</v>
      </c>
    </row>
    <row r="426010" spans="4:4">
      <c r="D426010" t="s">
        <v>156</v>
      </c>
    </row>
    <row r="426011" spans="4:4">
      <c r="D426011" t="s">
        <v>156</v>
      </c>
    </row>
    <row r="426012" spans="4:4">
      <c r="D426012" t="s">
        <v>156</v>
      </c>
    </row>
    <row r="426013" spans="4:4">
      <c r="D426013" t="s">
        <v>156</v>
      </c>
    </row>
    <row r="426014" spans="4:4">
      <c r="D426014" t="s">
        <v>156</v>
      </c>
    </row>
    <row r="426015" spans="4:4">
      <c r="D426015" t="s">
        <v>156</v>
      </c>
    </row>
    <row r="426016" spans="4:4">
      <c r="D426016" t="s">
        <v>156</v>
      </c>
    </row>
    <row r="426017" spans="4:4">
      <c r="D426017" t="s">
        <v>156</v>
      </c>
    </row>
    <row r="426018" spans="4:4">
      <c r="D426018" t="s">
        <v>156</v>
      </c>
    </row>
    <row r="426019" spans="4:4">
      <c r="D426019" t="s">
        <v>156</v>
      </c>
    </row>
    <row r="426020" spans="4:4">
      <c r="D426020" t="s">
        <v>156</v>
      </c>
    </row>
    <row r="426021" spans="4:4">
      <c r="D426021" t="s">
        <v>156</v>
      </c>
    </row>
    <row r="426022" spans="4:4">
      <c r="D426022" t="s">
        <v>156</v>
      </c>
    </row>
    <row r="426023" spans="4:4">
      <c r="D426023" t="s">
        <v>156</v>
      </c>
    </row>
    <row r="426024" spans="4:4">
      <c r="D426024" t="s">
        <v>156</v>
      </c>
    </row>
    <row r="426025" spans="4:4">
      <c r="D426025" t="s">
        <v>156</v>
      </c>
    </row>
    <row r="442368" spans="4:4">
      <c r="D442368" t="s">
        <v>155</v>
      </c>
    </row>
    <row r="442370" spans="4:4">
      <c r="D442370" t="s">
        <v>156</v>
      </c>
    </row>
    <row r="442371" spans="4:4">
      <c r="D442371" t="s">
        <v>156</v>
      </c>
    </row>
    <row r="442372" spans="4:4">
      <c r="D442372" t="s">
        <v>156</v>
      </c>
    </row>
    <row r="442373" spans="4:4">
      <c r="D442373" t="s">
        <v>156</v>
      </c>
    </row>
    <row r="442374" spans="4:4">
      <c r="D442374" t="s">
        <v>156</v>
      </c>
    </row>
    <row r="442375" spans="4:4">
      <c r="D442375" t="s">
        <v>156</v>
      </c>
    </row>
    <row r="442376" spans="4:4">
      <c r="D442376" t="s">
        <v>156</v>
      </c>
    </row>
    <row r="442377" spans="4:4">
      <c r="D442377" t="s">
        <v>156</v>
      </c>
    </row>
    <row r="442378" spans="4:4">
      <c r="D442378" t="s">
        <v>156</v>
      </c>
    </row>
    <row r="442379" spans="4:4">
      <c r="D442379" t="s">
        <v>156</v>
      </c>
    </row>
    <row r="442380" spans="4:4">
      <c r="D442380" t="s">
        <v>156</v>
      </c>
    </row>
    <row r="442381" spans="4:4">
      <c r="D442381" t="s">
        <v>156</v>
      </c>
    </row>
    <row r="442382" spans="4:4">
      <c r="D442382" t="s">
        <v>156</v>
      </c>
    </row>
    <row r="442383" spans="4:4">
      <c r="D442383" t="s">
        <v>156</v>
      </c>
    </row>
    <row r="442384" spans="4:4">
      <c r="D442384" t="s">
        <v>156</v>
      </c>
    </row>
    <row r="442385" spans="4:4">
      <c r="D442385" t="s">
        <v>156</v>
      </c>
    </row>
    <row r="442386" spans="4:4">
      <c r="D442386" t="s">
        <v>156</v>
      </c>
    </row>
    <row r="442387" spans="4:4">
      <c r="D442387" t="s">
        <v>156</v>
      </c>
    </row>
    <row r="442388" spans="4:4">
      <c r="D442388" t="s">
        <v>156</v>
      </c>
    </row>
    <row r="442389" spans="4:4">
      <c r="D442389" t="s">
        <v>156</v>
      </c>
    </row>
    <row r="442390" spans="4:4">
      <c r="D442390" t="s">
        <v>156</v>
      </c>
    </row>
    <row r="442391" spans="4:4">
      <c r="D442391" t="s">
        <v>156</v>
      </c>
    </row>
    <row r="442392" spans="4:4">
      <c r="D442392" t="s">
        <v>156</v>
      </c>
    </row>
    <row r="442393" spans="4:4">
      <c r="D442393" t="s">
        <v>156</v>
      </c>
    </row>
    <row r="442394" spans="4:4">
      <c r="D442394" t="s">
        <v>156</v>
      </c>
    </row>
    <row r="442395" spans="4:4">
      <c r="D442395" t="s">
        <v>156</v>
      </c>
    </row>
    <row r="442396" spans="4:4">
      <c r="D442396" t="s">
        <v>156</v>
      </c>
    </row>
    <row r="442397" spans="4:4">
      <c r="D442397" t="s">
        <v>156</v>
      </c>
    </row>
    <row r="442398" spans="4:4">
      <c r="D442398" t="s">
        <v>156</v>
      </c>
    </row>
    <row r="442399" spans="4:4">
      <c r="D442399" t="s">
        <v>156</v>
      </c>
    </row>
    <row r="442400" spans="4:4">
      <c r="D442400" t="s">
        <v>156</v>
      </c>
    </row>
    <row r="442401" spans="4:4">
      <c r="D442401" t="s">
        <v>156</v>
      </c>
    </row>
    <row r="442402" spans="4:4">
      <c r="D442402" t="s">
        <v>156</v>
      </c>
    </row>
    <row r="442403" spans="4:4">
      <c r="D442403" t="s">
        <v>156</v>
      </c>
    </row>
    <row r="442404" spans="4:4">
      <c r="D442404" t="s">
        <v>156</v>
      </c>
    </row>
    <row r="442405" spans="4:4">
      <c r="D442405" t="s">
        <v>156</v>
      </c>
    </row>
    <row r="442406" spans="4:4">
      <c r="D442406" t="s">
        <v>156</v>
      </c>
    </row>
    <row r="442407" spans="4:4">
      <c r="D442407" t="s">
        <v>156</v>
      </c>
    </row>
    <row r="442408" spans="4:4">
      <c r="D442408" t="s">
        <v>156</v>
      </c>
    </row>
    <row r="442409" spans="4:4">
      <c r="D442409" t="s">
        <v>156</v>
      </c>
    </row>
    <row r="458752" spans="4:4">
      <c r="D458752" t="s">
        <v>155</v>
      </c>
    </row>
    <row r="458754" spans="4:4">
      <c r="D458754" t="s">
        <v>156</v>
      </c>
    </row>
    <row r="458755" spans="4:4">
      <c r="D458755" t="s">
        <v>156</v>
      </c>
    </row>
    <row r="458756" spans="4:4">
      <c r="D458756" t="s">
        <v>156</v>
      </c>
    </row>
    <row r="458757" spans="4:4">
      <c r="D458757" t="s">
        <v>156</v>
      </c>
    </row>
    <row r="458758" spans="4:4">
      <c r="D458758" t="s">
        <v>156</v>
      </c>
    </row>
    <row r="458759" spans="4:4">
      <c r="D458759" t="s">
        <v>156</v>
      </c>
    </row>
    <row r="458760" spans="4:4">
      <c r="D458760" t="s">
        <v>156</v>
      </c>
    </row>
    <row r="458761" spans="4:4">
      <c r="D458761" t="s">
        <v>156</v>
      </c>
    </row>
    <row r="458762" spans="4:4">
      <c r="D458762" t="s">
        <v>156</v>
      </c>
    </row>
    <row r="458763" spans="4:4">
      <c r="D458763" t="s">
        <v>156</v>
      </c>
    </row>
    <row r="458764" spans="4:4">
      <c r="D458764" t="s">
        <v>156</v>
      </c>
    </row>
    <row r="458765" spans="4:4">
      <c r="D458765" t="s">
        <v>156</v>
      </c>
    </row>
    <row r="458766" spans="4:4">
      <c r="D458766" t="s">
        <v>156</v>
      </c>
    </row>
    <row r="458767" spans="4:4">
      <c r="D458767" t="s">
        <v>156</v>
      </c>
    </row>
    <row r="458768" spans="4:4">
      <c r="D458768" t="s">
        <v>156</v>
      </c>
    </row>
    <row r="458769" spans="4:4">
      <c r="D458769" t="s">
        <v>156</v>
      </c>
    </row>
    <row r="458770" spans="4:4">
      <c r="D458770" t="s">
        <v>156</v>
      </c>
    </row>
    <row r="458771" spans="4:4">
      <c r="D458771" t="s">
        <v>156</v>
      </c>
    </row>
    <row r="458772" spans="4:4">
      <c r="D458772" t="s">
        <v>156</v>
      </c>
    </row>
    <row r="458773" spans="4:4">
      <c r="D458773" t="s">
        <v>156</v>
      </c>
    </row>
    <row r="458774" spans="4:4">
      <c r="D458774" t="s">
        <v>156</v>
      </c>
    </row>
    <row r="458775" spans="4:4">
      <c r="D458775" t="s">
        <v>156</v>
      </c>
    </row>
    <row r="458776" spans="4:4">
      <c r="D458776" t="s">
        <v>156</v>
      </c>
    </row>
    <row r="458777" spans="4:4">
      <c r="D458777" t="s">
        <v>156</v>
      </c>
    </row>
    <row r="458778" spans="4:4">
      <c r="D458778" t="s">
        <v>156</v>
      </c>
    </row>
    <row r="458779" spans="4:4">
      <c r="D458779" t="s">
        <v>156</v>
      </c>
    </row>
    <row r="458780" spans="4:4">
      <c r="D458780" t="s">
        <v>156</v>
      </c>
    </row>
    <row r="458781" spans="4:4">
      <c r="D458781" t="s">
        <v>156</v>
      </c>
    </row>
    <row r="458782" spans="4:4">
      <c r="D458782" t="s">
        <v>156</v>
      </c>
    </row>
    <row r="458783" spans="4:4">
      <c r="D458783" t="s">
        <v>156</v>
      </c>
    </row>
    <row r="458784" spans="4:4">
      <c r="D458784" t="s">
        <v>156</v>
      </c>
    </row>
    <row r="458785" spans="4:4">
      <c r="D458785" t="s">
        <v>156</v>
      </c>
    </row>
    <row r="458786" spans="4:4">
      <c r="D458786" t="s">
        <v>156</v>
      </c>
    </row>
    <row r="458787" spans="4:4">
      <c r="D458787" t="s">
        <v>156</v>
      </c>
    </row>
    <row r="458788" spans="4:4">
      <c r="D458788" t="s">
        <v>156</v>
      </c>
    </row>
    <row r="458789" spans="4:4">
      <c r="D458789" t="s">
        <v>156</v>
      </c>
    </row>
    <row r="458790" spans="4:4">
      <c r="D458790" t="s">
        <v>156</v>
      </c>
    </row>
    <row r="458791" spans="4:4">
      <c r="D458791" t="s">
        <v>156</v>
      </c>
    </row>
    <row r="458792" spans="4:4">
      <c r="D458792" t="s">
        <v>156</v>
      </c>
    </row>
    <row r="458793" spans="4:4">
      <c r="D458793" t="s">
        <v>156</v>
      </c>
    </row>
    <row r="475136" spans="4:4">
      <c r="D475136" t="s">
        <v>155</v>
      </c>
    </row>
    <row r="475138" spans="4:4">
      <c r="D475138" t="s">
        <v>156</v>
      </c>
    </row>
    <row r="475139" spans="4:4">
      <c r="D475139" t="s">
        <v>156</v>
      </c>
    </row>
    <row r="475140" spans="4:4">
      <c r="D475140" t="s">
        <v>156</v>
      </c>
    </row>
    <row r="475141" spans="4:4">
      <c r="D475141" t="s">
        <v>156</v>
      </c>
    </row>
    <row r="475142" spans="4:4">
      <c r="D475142" t="s">
        <v>156</v>
      </c>
    </row>
    <row r="475143" spans="4:4">
      <c r="D475143" t="s">
        <v>156</v>
      </c>
    </row>
    <row r="475144" spans="4:4">
      <c r="D475144" t="s">
        <v>156</v>
      </c>
    </row>
    <row r="475145" spans="4:4">
      <c r="D475145" t="s">
        <v>156</v>
      </c>
    </row>
    <row r="475146" spans="4:4">
      <c r="D475146" t="s">
        <v>156</v>
      </c>
    </row>
    <row r="475147" spans="4:4">
      <c r="D475147" t="s">
        <v>156</v>
      </c>
    </row>
    <row r="475148" spans="4:4">
      <c r="D475148" t="s">
        <v>156</v>
      </c>
    </row>
    <row r="475149" spans="4:4">
      <c r="D475149" t="s">
        <v>156</v>
      </c>
    </row>
    <row r="475150" spans="4:4">
      <c r="D475150" t="s">
        <v>156</v>
      </c>
    </row>
    <row r="475151" spans="4:4">
      <c r="D475151" t="s">
        <v>156</v>
      </c>
    </row>
    <row r="475152" spans="4:4">
      <c r="D475152" t="s">
        <v>156</v>
      </c>
    </row>
    <row r="475153" spans="4:4">
      <c r="D475153" t="s">
        <v>156</v>
      </c>
    </row>
    <row r="475154" spans="4:4">
      <c r="D475154" t="s">
        <v>156</v>
      </c>
    </row>
    <row r="475155" spans="4:4">
      <c r="D475155" t="s">
        <v>156</v>
      </c>
    </row>
    <row r="475156" spans="4:4">
      <c r="D475156" t="s">
        <v>156</v>
      </c>
    </row>
    <row r="475157" spans="4:4">
      <c r="D475157" t="s">
        <v>156</v>
      </c>
    </row>
    <row r="475158" spans="4:4">
      <c r="D475158" t="s">
        <v>156</v>
      </c>
    </row>
    <row r="475159" spans="4:4">
      <c r="D475159" t="s">
        <v>156</v>
      </c>
    </row>
    <row r="475160" spans="4:4">
      <c r="D475160" t="s">
        <v>156</v>
      </c>
    </row>
    <row r="475161" spans="4:4">
      <c r="D475161" t="s">
        <v>156</v>
      </c>
    </row>
    <row r="475162" spans="4:4">
      <c r="D475162" t="s">
        <v>156</v>
      </c>
    </row>
    <row r="475163" spans="4:4">
      <c r="D475163" t="s">
        <v>156</v>
      </c>
    </row>
    <row r="475164" spans="4:4">
      <c r="D475164" t="s">
        <v>156</v>
      </c>
    </row>
    <row r="475165" spans="4:4">
      <c r="D475165" t="s">
        <v>156</v>
      </c>
    </row>
    <row r="475166" spans="4:4">
      <c r="D475166" t="s">
        <v>156</v>
      </c>
    </row>
    <row r="475167" spans="4:4">
      <c r="D475167" t="s">
        <v>156</v>
      </c>
    </row>
    <row r="475168" spans="4:4">
      <c r="D475168" t="s">
        <v>156</v>
      </c>
    </row>
    <row r="475169" spans="4:4">
      <c r="D475169" t="s">
        <v>156</v>
      </c>
    </row>
    <row r="475170" spans="4:4">
      <c r="D475170" t="s">
        <v>156</v>
      </c>
    </row>
    <row r="475171" spans="4:4">
      <c r="D475171" t="s">
        <v>156</v>
      </c>
    </row>
    <row r="475172" spans="4:4">
      <c r="D475172" t="s">
        <v>156</v>
      </c>
    </row>
    <row r="475173" spans="4:4">
      <c r="D475173" t="s">
        <v>156</v>
      </c>
    </row>
    <row r="475174" spans="4:4">
      <c r="D475174" t="s">
        <v>156</v>
      </c>
    </row>
    <row r="475175" spans="4:4">
      <c r="D475175" t="s">
        <v>156</v>
      </c>
    </row>
    <row r="475176" spans="4:4">
      <c r="D475176" t="s">
        <v>156</v>
      </c>
    </row>
    <row r="475177" spans="4:4">
      <c r="D475177" t="s">
        <v>156</v>
      </c>
    </row>
    <row r="491520" spans="4:4">
      <c r="D491520" t="s">
        <v>155</v>
      </c>
    </row>
    <row r="491522" spans="4:4">
      <c r="D491522" t="s">
        <v>156</v>
      </c>
    </row>
    <row r="491523" spans="4:4">
      <c r="D491523" t="s">
        <v>156</v>
      </c>
    </row>
    <row r="491524" spans="4:4">
      <c r="D491524" t="s">
        <v>156</v>
      </c>
    </row>
    <row r="491525" spans="4:4">
      <c r="D491525" t="s">
        <v>156</v>
      </c>
    </row>
    <row r="491526" spans="4:4">
      <c r="D491526" t="s">
        <v>156</v>
      </c>
    </row>
    <row r="491527" spans="4:4">
      <c r="D491527" t="s">
        <v>156</v>
      </c>
    </row>
    <row r="491528" spans="4:4">
      <c r="D491528" t="s">
        <v>156</v>
      </c>
    </row>
    <row r="491529" spans="4:4">
      <c r="D491529" t="s">
        <v>156</v>
      </c>
    </row>
    <row r="491530" spans="4:4">
      <c r="D491530" t="s">
        <v>156</v>
      </c>
    </row>
    <row r="491531" spans="4:4">
      <c r="D491531" t="s">
        <v>156</v>
      </c>
    </row>
    <row r="491532" spans="4:4">
      <c r="D491532" t="s">
        <v>156</v>
      </c>
    </row>
    <row r="491533" spans="4:4">
      <c r="D491533" t="s">
        <v>156</v>
      </c>
    </row>
    <row r="491534" spans="4:4">
      <c r="D491534" t="s">
        <v>156</v>
      </c>
    </row>
    <row r="491535" spans="4:4">
      <c r="D491535" t="s">
        <v>156</v>
      </c>
    </row>
    <row r="491536" spans="4:4">
      <c r="D491536" t="s">
        <v>156</v>
      </c>
    </row>
    <row r="491537" spans="4:4">
      <c r="D491537" t="s">
        <v>156</v>
      </c>
    </row>
    <row r="491538" spans="4:4">
      <c r="D491538" t="s">
        <v>156</v>
      </c>
    </row>
    <row r="491539" spans="4:4">
      <c r="D491539" t="s">
        <v>156</v>
      </c>
    </row>
    <row r="491540" spans="4:4">
      <c r="D491540" t="s">
        <v>156</v>
      </c>
    </row>
    <row r="491541" spans="4:4">
      <c r="D491541" t="s">
        <v>156</v>
      </c>
    </row>
    <row r="491542" spans="4:4">
      <c r="D491542" t="s">
        <v>156</v>
      </c>
    </row>
    <row r="491543" spans="4:4">
      <c r="D491543" t="s">
        <v>156</v>
      </c>
    </row>
    <row r="491544" spans="4:4">
      <c r="D491544" t="s">
        <v>156</v>
      </c>
    </row>
    <row r="491545" spans="4:4">
      <c r="D491545" t="s">
        <v>156</v>
      </c>
    </row>
    <row r="491546" spans="4:4">
      <c r="D491546" t="s">
        <v>156</v>
      </c>
    </row>
    <row r="491547" spans="4:4">
      <c r="D491547" t="s">
        <v>156</v>
      </c>
    </row>
    <row r="491548" spans="4:4">
      <c r="D491548" t="s">
        <v>156</v>
      </c>
    </row>
    <row r="491549" spans="4:4">
      <c r="D491549" t="s">
        <v>156</v>
      </c>
    </row>
    <row r="491550" spans="4:4">
      <c r="D491550" t="s">
        <v>156</v>
      </c>
    </row>
    <row r="491551" spans="4:4">
      <c r="D491551" t="s">
        <v>156</v>
      </c>
    </row>
    <row r="491552" spans="4:4">
      <c r="D491552" t="s">
        <v>156</v>
      </c>
    </row>
    <row r="491553" spans="4:4">
      <c r="D491553" t="s">
        <v>156</v>
      </c>
    </row>
    <row r="491554" spans="4:4">
      <c r="D491554" t="s">
        <v>156</v>
      </c>
    </row>
    <row r="491555" spans="4:4">
      <c r="D491555" t="s">
        <v>156</v>
      </c>
    </row>
    <row r="491556" spans="4:4">
      <c r="D491556" t="s">
        <v>156</v>
      </c>
    </row>
    <row r="491557" spans="4:4">
      <c r="D491557" t="s">
        <v>156</v>
      </c>
    </row>
    <row r="491558" spans="4:4">
      <c r="D491558" t="s">
        <v>156</v>
      </c>
    </row>
    <row r="491559" spans="4:4">
      <c r="D491559" t="s">
        <v>156</v>
      </c>
    </row>
    <row r="491560" spans="4:4">
      <c r="D491560" t="s">
        <v>156</v>
      </c>
    </row>
    <row r="491561" spans="4:4">
      <c r="D491561" t="s">
        <v>156</v>
      </c>
    </row>
    <row r="507904" spans="4:4">
      <c r="D507904" t="s">
        <v>155</v>
      </c>
    </row>
    <row r="507906" spans="4:4">
      <c r="D507906" t="s">
        <v>156</v>
      </c>
    </row>
    <row r="507907" spans="4:4">
      <c r="D507907" t="s">
        <v>156</v>
      </c>
    </row>
    <row r="507908" spans="4:4">
      <c r="D507908" t="s">
        <v>156</v>
      </c>
    </row>
    <row r="507909" spans="4:4">
      <c r="D507909" t="s">
        <v>156</v>
      </c>
    </row>
    <row r="507910" spans="4:4">
      <c r="D507910" t="s">
        <v>156</v>
      </c>
    </row>
    <row r="507911" spans="4:4">
      <c r="D507911" t="s">
        <v>156</v>
      </c>
    </row>
    <row r="507912" spans="4:4">
      <c r="D507912" t="s">
        <v>156</v>
      </c>
    </row>
    <row r="507913" spans="4:4">
      <c r="D507913" t="s">
        <v>156</v>
      </c>
    </row>
    <row r="507914" spans="4:4">
      <c r="D507914" t="s">
        <v>156</v>
      </c>
    </row>
    <row r="507915" spans="4:4">
      <c r="D507915" t="s">
        <v>156</v>
      </c>
    </row>
    <row r="507916" spans="4:4">
      <c r="D507916" t="s">
        <v>156</v>
      </c>
    </row>
    <row r="507917" spans="4:4">
      <c r="D507917" t="s">
        <v>156</v>
      </c>
    </row>
    <row r="507918" spans="4:4">
      <c r="D507918" t="s">
        <v>156</v>
      </c>
    </row>
    <row r="507919" spans="4:4">
      <c r="D507919" t="s">
        <v>156</v>
      </c>
    </row>
    <row r="507920" spans="4:4">
      <c r="D507920" t="s">
        <v>156</v>
      </c>
    </row>
    <row r="507921" spans="4:4">
      <c r="D507921" t="s">
        <v>156</v>
      </c>
    </row>
    <row r="507922" spans="4:4">
      <c r="D507922" t="s">
        <v>156</v>
      </c>
    </row>
    <row r="507923" spans="4:4">
      <c r="D507923" t="s">
        <v>156</v>
      </c>
    </row>
    <row r="507924" spans="4:4">
      <c r="D507924" t="s">
        <v>156</v>
      </c>
    </row>
    <row r="507925" spans="4:4">
      <c r="D507925" t="s">
        <v>156</v>
      </c>
    </row>
    <row r="507926" spans="4:4">
      <c r="D507926" t="s">
        <v>156</v>
      </c>
    </row>
    <row r="507927" spans="4:4">
      <c r="D507927" t="s">
        <v>156</v>
      </c>
    </row>
    <row r="507928" spans="4:4">
      <c r="D507928" t="s">
        <v>156</v>
      </c>
    </row>
    <row r="507929" spans="4:4">
      <c r="D507929" t="s">
        <v>156</v>
      </c>
    </row>
    <row r="507930" spans="4:4">
      <c r="D507930" t="s">
        <v>156</v>
      </c>
    </row>
    <row r="507931" spans="4:4">
      <c r="D507931" t="s">
        <v>156</v>
      </c>
    </row>
    <row r="507932" spans="4:4">
      <c r="D507932" t="s">
        <v>156</v>
      </c>
    </row>
    <row r="507933" spans="4:4">
      <c r="D507933" t="s">
        <v>156</v>
      </c>
    </row>
    <row r="507934" spans="4:4">
      <c r="D507934" t="s">
        <v>156</v>
      </c>
    </row>
    <row r="507935" spans="4:4">
      <c r="D507935" t="s">
        <v>156</v>
      </c>
    </row>
    <row r="507936" spans="4:4">
      <c r="D507936" t="s">
        <v>156</v>
      </c>
    </row>
    <row r="507937" spans="4:4">
      <c r="D507937" t="s">
        <v>156</v>
      </c>
    </row>
    <row r="507938" spans="4:4">
      <c r="D507938" t="s">
        <v>156</v>
      </c>
    </row>
    <row r="507939" spans="4:4">
      <c r="D507939" t="s">
        <v>156</v>
      </c>
    </row>
    <row r="507940" spans="4:4">
      <c r="D507940" t="s">
        <v>156</v>
      </c>
    </row>
    <row r="507941" spans="4:4">
      <c r="D507941" t="s">
        <v>156</v>
      </c>
    </row>
    <row r="507942" spans="4:4">
      <c r="D507942" t="s">
        <v>156</v>
      </c>
    </row>
    <row r="507943" spans="4:4">
      <c r="D507943" t="s">
        <v>156</v>
      </c>
    </row>
    <row r="507944" spans="4:4">
      <c r="D507944" t="s">
        <v>156</v>
      </c>
    </row>
    <row r="507945" spans="4:4">
      <c r="D507945" t="s">
        <v>156</v>
      </c>
    </row>
    <row r="524288" spans="4:4">
      <c r="D524288" t="s">
        <v>155</v>
      </c>
    </row>
    <row r="524290" spans="4:4">
      <c r="D524290" t="s">
        <v>156</v>
      </c>
    </row>
    <row r="524291" spans="4:4">
      <c r="D524291" t="s">
        <v>156</v>
      </c>
    </row>
    <row r="524292" spans="4:4">
      <c r="D524292" t="s">
        <v>156</v>
      </c>
    </row>
    <row r="524293" spans="4:4">
      <c r="D524293" t="s">
        <v>156</v>
      </c>
    </row>
    <row r="524294" spans="4:4">
      <c r="D524294" t="s">
        <v>156</v>
      </c>
    </row>
    <row r="524295" spans="4:4">
      <c r="D524295" t="s">
        <v>156</v>
      </c>
    </row>
    <row r="524296" spans="4:4">
      <c r="D524296" t="s">
        <v>156</v>
      </c>
    </row>
    <row r="524297" spans="4:4">
      <c r="D524297" t="s">
        <v>156</v>
      </c>
    </row>
    <row r="524298" spans="4:4">
      <c r="D524298" t="s">
        <v>156</v>
      </c>
    </row>
    <row r="524299" spans="4:4">
      <c r="D524299" t="s">
        <v>156</v>
      </c>
    </row>
    <row r="524300" spans="4:4">
      <c r="D524300" t="s">
        <v>156</v>
      </c>
    </row>
    <row r="524301" spans="4:4">
      <c r="D524301" t="s">
        <v>156</v>
      </c>
    </row>
    <row r="524302" spans="4:4">
      <c r="D524302" t="s">
        <v>156</v>
      </c>
    </row>
    <row r="524303" spans="4:4">
      <c r="D524303" t="s">
        <v>156</v>
      </c>
    </row>
    <row r="524304" spans="4:4">
      <c r="D524304" t="s">
        <v>156</v>
      </c>
    </row>
    <row r="524305" spans="4:4">
      <c r="D524305" t="s">
        <v>156</v>
      </c>
    </row>
    <row r="524306" spans="4:4">
      <c r="D524306" t="s">
        <v>156</v>
      </c>
    </row>
    <row r="524307" spans="4:4">
      <c r="D524307" t="s">
        <v>156</v>
      </c>
    </row>
    <row r="524308" spans="4:4">
      <c r="D524308" t="s">
        <v>156</v>
      </c>
    </row>
    <row r="524309" spans="4:4">
      <c r="D524309" t="s">
        <v>156</v>
      </c>
    </row>
    <row r="524310" spans="4:4">
      <c r="D524310" t="s">
        <v>156</v>
      </c>
    </row>
    <row r="524311" spans="4:4">
      <c r="D524311" t="s">
        <v>156</v>
      </c>
    </row>
    <row r="524312" spans="4:4">
      <c r="D524312" t="s">
        <v>156</v>
      </c>
    </row>
    <row r="524313" spans="4:4">
      <c r="D524313" t="s">
        <v>156</v>
      </c>
    </row>
    <row r="524314" spans="4:4">
      <c r="D524314" t="s">
        <v>156</v>
      </c>
    </row>
    <row r="524315" spans="4:4">
      <c r="D524315" t="s">
        <v>156</v>
      </c>
    </row>
    <row r="524316" spans="4:4">
      <c r="D524316" t="s">
        <v>156</v>
      </c>
    </row>
    <row r="524317" spans="4:4">
      <c r="D524317" t="s">
        <v>156</v>
      </c>
    </row>
    <row r="524318" spans="4:4">
      <c r="D524318" t="s">
        <v>156</v>
      </c>
    </row>
    <row r="524319" spans="4:4">
      <c r="D524319" t="s">
        <v>156</v>
      </c>
    </row>
    <row r="524320" spans="4:4">
      <c r="D524320" t="s">
        <v>156</v>
      </c>
    </row>
    <row r="524321" spans="4:4">
      <c r="D524321" t="s">
        <v>156</v>
      </c>
    </row>
    <row r="524322" spans="4:4">
      <c r="D524322" t="s">
        <v>156</v>
      </c>
    </row>
    <row r="524323" spans="4:4">
      <c r="D524323" t="s">
        <v>156</v>
      </c>
    </row>
    <row r="524324" spans="4:4">
      <c r="D524324" t="s">
        <v>156</v>
      </c>
    </row>
    <row r="524325" spans="4:4">
      <c r="D524325" t="s">
        <v>156</v>
      </c>
    </row>
    <row r="524326" spans="4:4">
      <c r="D524326" t="s">
        <v>156</v>
      </c>
    </row>
    <row r="524327" spans="4:4">
      <c r="D524327" t="s">
        <v>156</v>
      </c>
    </row>
    <row r="524328" spans="4:4">
      <c r="D524328" t="s">
        <v>156</v>
      </c>
    </row>
    <row r="524329" spans="4:4">
      <c r="D524329" t="s">
        <v>156</v>
      </c>
    </row>
    <row r="540672" spans="4:4">
      <c r="D540672" t="s">
        <v>155</v>
      </c>
    </row>
    <row r="540674" spans="4:4">
      <c r="D540674" t="s">
        <v>156</v>
      </c>
    </row>
    <row r="540675" spans="4:4">
      <c r="D540675" t="s">
        <v>156</v>
      </c>
    </row>
    <row r="540676" spans="4:4">
      <c r="D540676" t="s">
        <v>156</v>
      </c>
    </row>
    <row r="540677" spans="4:4">
      <c r="D540677" t="s">
        <v>156</v>
      </c>
    </row>
    <row r="540678" spans="4:4">
      <c r="D540678" t="s">
        <v>156</v>
      </c>
    </row>
    <row r="540679" spans="4:4">
      <c r="D540679" t="s">
        <v>156</v>
      </c>
    </row>
    <row r="540680" spans="4:4">
      <c r="D540680" t="s">
        <v>156</v>
      </c>
    </row>
    <row r="540681" spans="4:4">
      <c r="D540681" t="s">
        <v>156</v>
      </c>
    </row>
    <row r="540682" spans="4:4">
      <c r="D540682" t="s">
        <v>156</v>
      </c>
    </row>
    <row r="540683" spans="4:4">
      <c r="D540683" t="s">
        <v>156</v>
      </c>
    </row>
    <row r="540684" spans="4:4">
      <c r="D540684" t="s">
        <v>156</v>
      </c>
    </row>
    <row r="540685" spans="4:4">
      <c r="D540685" t="s">
        <v>156</v>
      </c>
    </row>
    <row r="540686" spans="4:4">
      <c r="D540686" t="s">
        <v>156</v>
      </c>
    </row>
    <row r="540687" spans="4:4">
      <c r="D540687" t="s">
        <v>156</v>
      </c>
    </row>
    <row r="540688" spans="4:4">
      <c r="D540688" t="s">
        <v>156</v>
      </c>
    </row>
    <row r="540689" spans="4:4">
      <c r="D540689" t="s">
        <v>156</v>
      </c>
    </row>
    <row r="540690" spans="4:4">
      <c r="D540690" t="s">
        <v>156</v>
      </c>
    </row>
    <row r="540691" spans="4:4">
      <c r="D540691" t="s">
        <v>156</v>
      </c>
    </row>
    <row r="540692" spans="4:4">
      <c r="D540692" t="s">
        <v>156</v>
      </c>
    </row>
    <row r="540693" spans="4:4">
      <c r="D540693" t="s">
        <v>156</v>
      </c>
    </row>
    <row r="540694" spans="4:4">
      <c r="D540694" t="s">
        <v>156</v>
      </c>
    </row>
    <row r="540695" spans="4:4">
      <c r="D540695" t="s">
        <v>156</v>
      </c>
    </row>
    <row r="540696" spans="4:4">
      <c r="D540696" t="s">
        <v>156</v>
      </c>
    </row>
    <row r="540697" spans="4:4">
      <c r="D540697" t="s">
        <v>156</v>
      </c>
    </row>
    <row r="540698" spans="4:4">
      <c r="D540698" t="s">
        <v>156</v>
      </c>
    </row>
    <row r="540699" spans="4:4">
      <c r="D540699" t="s">
        <v>156</v>
      </c>
    </row>
    <row r="540700" spans="4:4">
      <c r="D540700" t="s">
        <v>156</v>
      </c>
    </row>
    <row r="540701" spans="4:4">
      <c r="D540701" t="s">
        <v>156</v>
      </c>
    </row>
    <row r="540702" spans="4:4">
      <c r="D540702" t="s">
        <v>156</v>
      </c>
    </row>
    <row r="540703" spans="4:4">
      <c r="D540703" t="s">
        <v>156</v>
      </c>
    </row>
    <row r="540704" spans="4:4">
      <c r="D540704" t="s">
        <v>156</v>
      </c>
    </row>
    <row r="540705" spans="4:4">
      <c r="D540705" t="s">
        <v>156</v>
      </c>
    </row>
    <row r="540706" spans="4:4">
      <c r="D540706" t="s">
        <v>156</v>
      </c>
    </row>
    <row r="540707" spans="4:4">
      <c r="D540707" t="s">
        <v>156</v>
      </c>
    </row>
    <row r="540708" spans="4:4">
      <c r="D540708" t="s">
        <v>156</v>
      </c>
    </row>
    <row r="540709" spans="4:4">
      <c r="D540709" t="s">
        <v>156</v>
      </c>
    </row>
    <row r="540710" spans="4:4">
      <c r="D540710" t="s">
        <v>156</v>
      </c>
    </row>
    <row r="540711" spans="4:4">
      <c r="D540711" t="s">
        <v>156</v>
      </c>
    </row>
    <row r="540712" spans="4:4">
      <c r="D540712" t="s">
        <v>156</v>
      </c>
    </row>
    <row r="540713" spans="4:4">
      <c r="D540713" t="s">
        <v>156</v>
      </c>
    </row>
    <row r="557056" spans="4:4">
      <c r="D557056" t="s">
        <v>155</v>
      </c>
    </row>
    <row r="557058" spans="4:4">
      <c r="D557058" t="s">
        <v>156</v>
      </c>
    </row>
    <row r="557059" spans="4:4">
      <c r="D557059" t="s">
        <v>156</v>
      </c>
    </row>
    <row r="557060" spans="4:4">
      <c r="D557060" t="s">
        <v>156</v>
      </c>
    </row>
    <row r="557061" spans="4:4">
      <c r="D557061" t="s">
        <v>156</v>
      </c>
    </row>
    <row r="557062" spans="4:4">
      <c r="D557062" t="s">
        <v>156</v>
      </c>
    </row>
    <row r="557063" spans="4:4">
      <c r="D557063" t="s">
        <v>156</v>
      </c>
    </row>
    <row r="557064" spans="4:4">
      <c r="D557064" t="s">
        <v>156</v>
      </c>
    </row>
    <row r="557065" spans="4:4">
      <c r="D557065" t="s">
        <v>156</v>
      </c>
    </row>
    <row r="557066" spans="4:4">
      <c r="D557066" t="s">
        <v>156</v>
      </c>
    </row>
    <row r="557067" spans="4:4">
      <c r="D557067" t="s">
        <v>156</v>
      </c>
    </row>
    <row r="557068" spans="4:4">
      <c r="D557068" t="s">
        <v>156</v>
      </c>
    </row>
    <row r="557069" spans="4:4">
      <c r="D557069" t="s">
        <v>156</v>
      </c>
    </row>
    <row r="557070" spans="4:4">
      <c r="D557070" t="s">
        <v>156</v>
      </c>
    </row>
    <row r="557071" spans="4:4">
      <c r="D557071" t="s">
        <v>156</v>
      </c>
    </row>
    <row r="557072" spans="4:4">
      <c r="D557072" t="s">
        <v>156</v>
      </c>
    </row>
    <row r="557073" spans="4:4">
      <c r="D557073" t="s">
        <v>156</v>
      </c>
    </row>
    <row r="557074" spans="4:4">
      <c r="D557074" t="s">
        <v>156</v>
      </c>
    </row>
    <row r="557075" spans="4:4">
      <c r="D557075" t="s">
        <v>156</v>
      </c>
    </row>
    <row r="557076" spans="4:4">
      <c r="D557076" t="s">
        <v>156</v>
      </c>
    </row>
    <row r="557077" spans="4:4">
      <c r="D557077" t="s">
        <v>156</v>
      </c>
    </row>
    <row r="557078" spans="4:4">
      <c r="D557078" t="s">
        <v>156</v>
      </c>
    </row>
    <row r="557079" spans="4:4">
      <c r="D557079" t="s">
        <v>156</v>
      </c>
    </row>
    <row r="557080" spans="4:4">
      <c r="D557080" t="s">
        <v>156</v>
      </c>
    </row>
    <row r="557081" spans="4:4">
      <c r="D557081" t="s">
        <v>156</v>
      </c>
    </row>
    <row r="557082" spans="4:4">
      <c r="D557082" t="s">
        <v>156</v>
      </c>
    </row>
    <row r="557083" spans="4:4">
      <c r="D557083" t="s">
        <v>156</v>
      </c>
    </row>
    <row r="557084" spans="4:4">
      <c r="D557084" t="s">
        <v>156</v>
      </c>
    </row>
    <row r="557085" spans="4:4">
      <c r="D557085" t="s">
        <v>156</v>
      </c>
    </row>
    <row r="557086" spans="4:4">
      <c r="D557086" t="s">
        <v>156</v>
      </c>
    </row>
    <row r="557087" spans="4:4">
      <c r="D557087" t="s">
        <v>156</v>
      </c>
    </row>
    <row r="557088" spans="4:4">
      <c r="D557088" t="s">
        <v>156</v>
      </c>
    </row>
    <row r="557089" spans="4:4">
      <c r="D557089" t="s">
        <v>156</v>
      </c>
    </row>
    <row r="557090" spans="4:4">
      <c r="D557090" t="s">
        <v>156</v>
      </c>
    </row>
    <row r="557091" spans="4:4">
      <c r="D557091" t="s">
        <v>156</v>
      </c>
    </row>
    <row r="557092" spans="4:4">
      <c r="D557092" t="s">
        <v>156</v>
      </c>
    </row>
    <row r="557093" spans="4:4">
      <c r="D557093" t="s">
        <v>156</v>
      </c>
    </row>
    <row r="557094" spans="4:4">
      <c r="D557094" t="s">
        <v>156</v>
      </c>
    </row>
    <row r="557095" spans="4:4">
      <c r="D557095" t="s">
        <v>156</v>
      </c>
    </row>
    <row r="557096" spans="4:4">
      <c r="D557096" t="s">
        <v>156</v>
      </c>
    </row>
    <row r="557097" spans="4:4">
      <c r="D557097" t="s">
        <v>156</v>
      </c>
    </row>
    <row r="573440" spans="4:4">
      <c r="D573440" t="s">
        <v>155</v>
      </c>
    </row>
    <row r="573442" spans="4:4">
      <c r="D573442" t="s">
        <v>156</v>
      </c>
    </row>
    <row r="573443" spans="4:4">
      <c r="D573443" t="s">
        <v>156</v>
      </c>
    </row>
    <row r="573444" spans="4:4">
      <c r="D573444" t="s">
        <v>156</v>
      </c>
    </row>
    <row r="573445" spans="4:4">
      <c r="D573445" t="s">
        <v>156</v>
      </c>
    </row>
    <row r="573446" spans="4:4">
      <c r="D573446" t="s">
        <v>156</v>
      </c>
    </row>
    <row r="573447" spans="4:4">
      <c r="D573447" t="s">
        <v>156</v>
      </c>
    </row>
    <row r="573448" spans="4:4">
      <c r="D573448" t="s">
        <v>156</v>
      </c>
    </row>
    <row r="573449" spans="4:4">
      <c r="D573449" t="s">
        <v>156</v>
      </c>
    </row>
    <row r="573450" spans="4:4">
      <c r="D573450" t="s">
        <v>156</v>
      </c>
    </row>
    <row r="573451" spans="4:4">
      <c r="D573451" t="s">
        <v>156</v>
      </c>
    </row>
    <row r="573452" spans="4:4">
      <c r="D573452" t="s">
        <v>156</v>
      </c>
    </row>
    <row r="573453" spans="4:4">
      <c r="D573453" t="s">
        <v>156</v>
      </c>
    </row>
    <row r="573454" spans="4:4">
      <c r="D573454" t="s">
        <v>156</v>
      </c>
    </row>
    <row r="573455" spans="4:4">
      <c r="D573455" t="s">
        <v>156</v>
      </c>
    </row>
    <row r="573456" spans="4:4">
      <c r="D573456" t="s">
        <v>156</v>
      </c>
    </row>
    <row r="573457" spans="4:4">
      <c r="D573457" t="s">
        <v>156</v>
      </c>
    </row>
    <row r="573458" spans="4:4">
      <c r="D573458" t="s">
        <v>156</v>
      </c>
    </row>
    <row r="573459" spans="4:4">
      <c r="D573459" t="s">
        <v>156</v>
      </c>
    </row>
    <row r="573460" spans="4:4">
      <c r="D573460" t="s">
        <v>156</v>
      </c>
    </row>
    <row r="573461" spans="4:4">
      <c r="D573461" t="s">
        <v>156</v>
      </c>
    </row>
    <row r="573462" spans="4:4">
      <c r="D573462" t="s">
        <v>156</v>
      </c>
    </row>
    <row r="573463" spans="4:4">
      <c r="D573463" t="s">
        <v>156</v>
      </c>
    </row>
    <row r="573464" spans="4:4">
      <c r="D573464" t="s">
        <v>156</v>
      </c>
    </row>
    <row r="573465" spans="4:4">
      <c r="D573465" t="s">
        <v>156</v>
      </c>
    </row>
    <row r="573466" spans="4:4">
      <c r="D573466" t="s">
        <v>156</v>
      </c>
    </row>
    <row r="573467" spans="4:4">
      <c r="D573467" t="s">
        <v>156</v>
      </c>
    </row>
    <row r="573468" spans="4:4">
      <c r="D573468" t="s">
        <v>156</v>
      </c>
    </row>
    <row r="573469" spans="4:4">
      <c r="D573469" t="s">
        <v>156</v>
      </c>
    </row>
    <row r="573470" spans="4:4">
      <c r="D573470" t="s">
        <v>156</v>
      </c>
    </row>
    <row r="573471" spans="4:4">
      <c r="D573471" t="s">
        <v>156</v>
      </c>
    </row>
    <row r="573472" spans="4:4">
      <c r="D573472" t="s">
        <v>156</v>
      </c>
    </row>
    <row r="573473" spans="4:4">
      <c r="D573473" t="s">
        <v>156</v>
      </c>
    </row>
    <row r="573474" spans="4:4">
      <c r="D573474" t="s">
        <v>156</v>
      </c>
    </row>
    <row r="573475" spans="4:4">
      <c r="D573475" t="s">
        <v>156</v>
      </c>
    </row>
    <row r="573476" spans="4:4">
      <c r="D573476" t="s">
        <v>156</v>
      </c>
    </row>
    <row r="573477" spans="4:4">
      <c r="D573477" t="s">
        <v>156</v>
      </c>
    </row>
    <row r="573478" spans="4:4">
      <c r="D573478" t="s">
        <v>156</v>
      </c>
    </row>
    <row r="573479" spans="4:4">
      <c r="D573479" t="s">
        <v>156</v>
      </c>
    </row>
    <row r="573480" spans="4:4">
      <c r="D573480" t="s">
        <v>156</v>
      </c>
    </row>
    <row r="573481" spans="4:4">
      <c r="D573481" t="s">
        <v>156</v>
      </c>
    </row>
    <row r="589824" spans="4:4">
      <c r="D589824" t="s">
        <v>155</v>
      </c>
    </row>
    <row r="589826" spans="4:4">
      <c r="D589826" t="s">
        <v>156</v>
      </c>
    </row>
    <row r="589827" spans="4:4">
      <c r="D589827" t="s">
        <v>156</v>
      </c>
    </row>
    <row r="589828" spans="4:4">
      <c r="D589828" t="s">
        <v>156</v>
      </c>
    </row>
    <row r="589829" spans="4:4">
      <c r="D589829" t="s">
        <v>156</v>
      </c>
    </row>
    <row r="589830" spans="4:4">
      <c r="D589830" t="s">
        <v>156</v>
      </c>
    </row>
    <row r="589831" spans="4:4">
      <c r="D589831" t="s">
        <v>156</v>
      </c>
    </row>
    <row r="589832" spans="4:4">
      <c r="D589832" t="s">
        <v>156</v>
      </c>
    </row>
    <row r="589833" spans="4:4">
      <c r="D589833" t="s">
        <v>156</v>
      </c>
    </row>
    <row r="589834" spans="4:4">
      <c r="D589834" t="s">
        <v>156</v>
      </c>
    </row>
    <row r="589835" spans="4:4">
      <c r="D589835" t="s">
        <v>156</v>
      </c>
    </row>
    <row r="589836" spans="4:4">
      <c r="D589836" t="s">
        <v>156</v>
      </c>
    </row>
    <row r="589837" spans="4:4">
      <c r="D589837" t="s">
        <v>156</v>
      </c>
    </row>
    <row r="589838" spans="4:4">
      <c r="D589838" t="s">
        <v>156</v>
      </c>
    </row>
    <row r="589839" spans="4:4">
      <c r="D589839" t="s">
        <v>156</v>
      </c>
    </row>
    <row r="589840" spans="4:4">
      <c r="D589840" t="s">
        <v>156</v>
      </c>
    </row>
    <row r="589841" spans="4:4">
      <c r="D589841" t="s">
        <v>156</v>
      </c>
    </row>
    <row r="589842" spans="4:4">
      <c r="D589842" t="s">
        <v>156</v>
      </c>
    </row>
    <row r="589843" spans="4:4">
      <c r="D589843" t="s">
        <v>156</v>
      </c>
    </row>
    <row r="589844" spans="4:4">
      <c r="D589844" t="s">
        <v>156</v>
      </c>
    </row>
    <row r="589845" spans="4:4">
      <c r="D589845" t="s">
        <v>156</v>
      </c>
    </row>
    <row r="589846" spans="4:4">
      <c r="D589846" t="s">
        <v>156</v>
      </c>
    </row>
    <row r="589847" spans="4:4">
      <c r="D589847" t="s">
        <v>156</v>
      </c>
    </row>
    <row r="589848" spans="4:4">
      <c r="D589848" t="s">
        <v>156</v>
      </c>
    </row>
    <row r="589849" spans="4:4">
      <c r="D589849" t="s">
        <v>156</v>
      </c>
    </row>
    <row r="589850" spans="4:4">
      <c r="D589850" t="s">
        <v>156</v>
      </c>
    </row>
    <row r="589851" spans="4:4">
      <c r="D589851" t="s">
        <v>156</v>
      </c>
    </row>
    <row r="589852" spans="4:4">
      <c r="D589852" t="s">
        <v>156</v>
      </c>
    </row>
    <row r="589853" spans="4:4">
      <c r="D589853" t="s">
        <v>156</v>
      </c>
    </row>
    <row r="589854" spans="4:4">
      <c r="D589854" t="s">
        <v>156</v>
      </c>
    </row>
    <row r="589855" spans="4:4">
      <c r="D589855" t="s">
        <v>156</v>
      </c>
    </row>
    <row r="589856" spans="4:4">
      <c r="D589856" t="s">
        <v>156</v>
      </c>
    </row>
    <row r="589857" spans="4:4">
      <c r="D589857" t="s">
        <v>156</v>
      </c>
    </row>
    <row r="589858" spans="4:4">
      <c r="D589858" t="s">
        <v>156</v>
      </c>
    </row>
    <row r="589859" spans="4:4">
      <c r="D589859" t="s">
        <v>156</v>
      </c>
    </row>
    <row r="589860" spans="4:4">
      <c r="D589860" t="s">
        <v>156</v>
      </c>
    </row>
    <row r="589861" spans="4:4">
      <c r="D589861" t="s">
        <v>156</v>
      </c>
    </row>
    <row r="589862" spans="4:4">
      <c r="D589862" t="s">
        <v>156</v>
      </c>
    </row>
    <row r="589863" spans="4:4">
      <c r="D589863" t="s">
        <v>156</v>
      </c>
    </row>
    <row r="589864" spans="4:4">
      <c r="D589864" t="s">
        <v>156</v>
      </c>
    </row>
    <row r="589865" spans="4:4">
      <c r="D589865" t="s">
        <v>156</v>
      </c>
    </row>
    <row r="606208" spans="4:4">
      <c r="D606208" t="s">
        <v>155</v>
      </c>
    </row>
    <row r="606210" spans="4:4">
      <c r="D606210" t="s">
        <v>156</v>
      </c>
    </row>
    <row r="606211" spans="4:4">
      <c r="D606211" t="s">
        <v>156</v>
      </c>
    </row>
    <row r="606212" spans="4:4">
      <c r="D606212" t="s">
        <v>156</v>
      </c>
    </row>
    <row r="606213" spans="4:4">
      <c r="D606213" t="s">
        <v>156</v>
      </c>
    </row>
    <row r="606214" spans="4:4">
      <c r="D606214" t="s">
        <v>156</v>
      </c>
    </row>
    <row r="606215" spans="4:4">
      <c r="D606215" t="s">
        <v>156</v>
      </c>
    </row>
    <row r="606216" spans="4:4">
      <c r="D606216" t="s">
        <v>156</v>
      </c>
    </row>
    <row r="606217" spans="4:4">
      <c r="D606217" t="s">
        <v>156</v>
      </c>
    </row>
    <row r="606218" spans="4:4">
      <c r="D606218" t="s">
        <v>156</v>
      </c>
    </row>
    <row r="606219" spans="4:4">
      <c r="D606219" t="s">
        <v>156</v>
      </c>
    </row>
    <row r="606220" spans="4:4">
      <c r="D606220" t="s">
        <v>156</v>
      </c>
    </row>
    <row r="606221" spans="4:4">
      <c r="D606221" t="s">
        <v>156</v>
      </c>
    </row>
    <row r="606222" spans="4:4">
      <c r="D606222" t="s">
        <v>156</v>
      </c>
    </row>
    <row r="606223" spans="4:4">
      <c r="D606223" t="s">
        <v>156</v>
      </c>
    </row>
    <row r="606224" spans="4:4">
      <c r="D606224" t="s">
        <v>156</v>
      </c>
    </row>
    <row r="606225" spans="4:4">
      <c r="D606225" t="s">
        <v>156</v>
      </c>
    </row>
    <row r="606226" spans="4:4">
      <c r="D606226" t="s">
        <v>156</v>
      </c>
    </row>
    <row r="606227" spans="4:4">
      <c r="D606227" t="s">
        <v>156</v>
      </c>
    </row>
    <row r="606228" spans="4:4">
      <c r="D606228" t="s">
        <v>156</v>
      </c>
    </row>
    <row r="606229" spans="4:4">
      <c r="D606229" t="s">
        <v>156</v>
      </c>
    </row>
    <row r="606230" spans="4:4">
      <c r="D606230" t="s">
        <v>156</v>
      </c>
    </row>
    <row r="606231" spans="4:4">
      <c r="D606231" t="s">
        <v>156</v>
      </c>
    </row>
    <row r="606232" spans="4:4">
      <c r="D606232" t="s">
        <v>156</v>
      </c>
    </row>
    <row r="606233" spans="4:4">
      <c r="D606233" t="s">
        <v>156</v>
      </c>
    </row>
    <row r="606234" spans="4:4">
      <c r="D606234" t="s">
        <v>156</v>
      </c>
    </row>
    <row r="606235" spans="4:4">
      <c r="D606235" t="s">
        <v>156</v>
      </c>
    </row>
    <row r="606236" spans="4:4">
      <c r="D606236" t="s">
        <v>156</v>
      </c>
    </row>
    <row r="606237" spans="4:4">
      <c r="D606237" t="s">
        <v>156</v>
      </c>
    </row>
    <row r="606238" spans="4:4">
      <c r="D606238" t="s">
        <v>156</v>
      </c>
    </row>
    <row r="606239" spans="4:4">
      <c r="D606239" t="s">
        <v>156</v>
      </c>
    </row>
    <row r="606240" spans="4:4">
      <c r="D606240" t="s">
        <v>156</v>
      </c>
    </row>
    <row r="606241" spans="4:4">
      <c r="D606241" t="s">
        <v>156</v>
      </c>
    </row>
    <row r="606242" spans="4:4">
      <c r="D606242" t="s">
        <v>156</v>
      </c>
    </row>
    <row r="606243" spans="4:4">
      <c r="D606243" t="s">
        <v>156</v>
      </c>
    </row>
    <row r="606244" spans="4:4">
      <c r="D606244" t="s">
        <v>156</v>
      </c>
    </row>
    <row r="606245" spans="4:4">
      <c r="D606245" t="s">
        <v>156</v>
      </c>
    </row>
    <row r="606246" spans="4:4">
      <c r="D606246" t="s">
        <v>156</v>
      </c>
    </row>
    <row r="606247" spans="4:4">
      <c r="D606247" t="s">
        <v>156</v>
      </c>
    </row>
    <row r="606248" spans="4:4">
      <c r="D606248" t="s">
        <v>156</v>
      </c>
    </row>
    <row r="606249" spans="4:4">
      <c r="D606249" t="s">
        <v>156</v>
      </c>
    </row>
    <row r="622592" spans="4:4">
      <c r="D622592" t="s">
        <v>155</v>
      </c>
    </row>
    <row r="622594" spans="4:4">
      <c r="D622594" t="s">
        <v>156</v>
      </c>
    </row>
    <row r="622595" spans="4:4">
      <c r="D622595" t="s">
        <v>156</v>
      </c>
    </row>
    <row r="622596" spans="4:4">
      <c r="D622596" t="s">
        <v>156</v>
      </c>
    </row>
    <row r="622597" spans="4:4">
      <c r="D622597" t="s">
        <v>156</v>
      </c>
    </row>
    <row r="622598" spans="4:4">
      <c r="D622598" t="s">
        <v>156</v>
      </c>
    </row>
    <row r="622599" spans="4:4">
      <c r="D622599" t="s">
        <v>156</v>
      </c>
    </row>
    <row r="622600" spans="4:4">
      <c r="D622600" t="s">
        <v>156</v>
      </c>
    </row>
    <row r="622601" spans="4:4">
      <c r="D622601" t="s">
        <v>156</v>
      </c>
    </row>
    <row r="622602" spans="4:4">
      <c r="D622602" t="s">
        <v>156</v>
      </c>
    </row>
    <row r="622603" spans="4:4">
      <c r="D622603" t="s">
        <v>156</v>
      </c>
    </row>
    <row r="622604" spans="4:4">
      <c r="D622604" t="s">
        <v>156</v>
      </c>
    </row>
    <row r="622605" spans="4:4">
      <c r="D622605" t="s">
        <v>156</v>
      </c>
    </row>
    <row r="622606" spans="4:4">
      <c r="D622606" t="s">
        <v>156</v>
      </c>
    </row>
    <row r="622607" spans="4:4">
      <c r="D622607" t="s">
        <v>156</v>
      </c>
    </row>
    <row r="622608" spans="4:4">
      <c r="D622608" t="s">
        <v>156</v>
      </c>
    </row>
    <row r="622609" spans="4:4">
      <c r="D622609" t="s">
        <v>156</v>
      </c>
    </row>
    <row r="622610" spans="4:4">
      <c r="D622610" t="s">
        <v>156</v>
      </c>
    </row>
    <row r="622611" spans="4:4">
      <c r="D622611" t="s">
        <v>156</v>
      </c>
    </row>
    <row r="622612" spans="4:4">
      <c r="D622612" t="s">
        <v>156</v>
      </c>
    </row>
    <row r="622613" spans="4:4">
      <c r="D622613" t="s">
        <v>156</v>
      </c>
    </row>
    <row r="622614" spans="4:4">
      <c r="D622614" t="s">
        <v>156</v>
      </c>
    </row>
    <row r="622615" spans="4:4">
      <c r="D622615" t="s">
        <v>156</v>
      </c>
    </row>
    <row r="622616" spans="4:4">
      <c r="D622616" t="s">
        <v>156</v>
      </c>
    </row>
    <row r="622617" spans="4:4">
      <c r="D622617" t="s">
        <v>156</v>
      </c>
    </row>
    <row r="622618" spans="4:4">
      <c r="D622618" t="s">
        <v>156</v>
      </c>
    </row>
    <row r="622619" spans="4:4">
      <c r="D622619" t="s">
        <v>156</v>
      </c>
    </row>
    <row r="622620" spans="4:4">
      <c r="D622620" t="s">
        <v>156</v>
      </c>
    </row>
    <row r="622621" spans="4:4">
      <c r="D622621" t="s">
        <v>156</v>
      </c>
    </row>
    <row r="622622" spans="4:4">
      <c r="D622622" t="s">
        <v>156</v>
      </c>
    </row>
    <row r="622623" spans="4:4">
      <c r="D622623" t="s">
        <v>156</v>
      </c>
    </row>
    <row r="622624" spans="4:4">
      <c r="D622624" t="s">
        <v>156</v>
      </c>
    </row>
    <row r="622625" spans="4:4">
      <c r="D622625" t="s">
        <v>156</v>
      </c>
    </row>
    <row r="622626" spans="4:4">
      <c r="D622626" t="s">
        <v>156</v>
      </c>
    </row>
    <row r="622627" spans="4:4">
      <c r="D622627" t="s">
        <v>156</v>
      </c>
    </row>
    <row r="622628" spans="4:4">
      <c r="D622628" t="s">
        <v>156</v>
      </c>
    </row>
    <row r="622629" spans="4:4">
      <c r="D622629" t="s">
        <v>156</v>
      </c>
    </row>
    <row r="622630" spans="4:4">
      <c r="D622630" t="s">
        <v>156</v>
      </c>
    </row>
    <row r="622631" spans="4:4">
      <c r="D622631" t="s">
        <v>156</v>
      </c>
    </row>
    <row r="622632" spans="4:4">
      <c r="D622632" t="s">
        <v>156</v>
      </c>
    </row>
    <row r="622633" spans="4:4">
      <c r="D622633" t="s">
        <v>156</v>
      </c>
    </row>
    <row r="638976" spans="4:4">
      <c r="D638976" t="s">
        <v>155</v>
      </c>
    </row>
    <row r="638978" spans="4:4">
      <c r="D638978" t="s">
        <v>156</v>
      </c>
    </row>
    <row r="638979" spans="4:4">
      <c r="D638979" t="s">
        <v>156</v>
      </c>
    </row>
    <row r="638980" spans="4:4">
      <c r="D638980" t="s">
        <v>156</v>
      </c>
    </row>
    <row r="638981" spans="4:4">
      <c r="D638981" t="s">
        <v>156</v>
      </c>
    </row>
    <row r="638982" spans="4:4">
      <c r="D638982" t="s">
        <v>156</v>
      </c>
    </row>
    <row r="638983" spans="4:4">
      <c r="D638983" t="s">
        <v>156</v>
      </c>
    </row>
    <row r="638984" spans="4:4">
      <c r="D638984" t="s">
        <v>156</v>
      </c>
    </row>
    <row r="638985" spans="4:4">
      <c r="D638985" t="s">
        <v>156</v>
      </c>
    </row>
    <row r="638986" spans="4:4">
      <c r="D638986" t="s">
        <v>156</v>
      </c>
    </row>
    <row r="638987" spans="4:4">
      <c r="D638987" t="s">
        <v>156</v>
      </c>
    </row>
    <row r="638988" spans="4:4">
      <c r="D638988" t="s">
        <v>156</v>
      </c>
    </row>
    <row r="638989" spans="4:4">
      <c r="D638989" t="s">
        <v>156</v>
      </c>
    </row>
    <row r="638990" spans="4:4">
      <c r="D638990" t="s">
        <v>156</v>
      </c>
    </row>
    <row r="638991" spans="4:4">
      <c r="D638991" t="s">
        <v>156</v>
      </c>
    </row>
    <row r="638992" spans="4:4">
      <c r="D638992" t="s">
        <v>156</v>
      </c>
    </row>
    <row r="638993" spans="4:4">
      <c r="D638993" t="s">
        <v>156</v>
      </c>
    </row>
    <row r="638994" spans="4:4">
      <c r="D638994" t="s">
        <v>156</v>
      </c>
    </row>
    <row r="638995" spans="4:4">
      <c r="D638995" t="s">
        <v>156</v>
      </c>
    </row>
    <row r="638996" spans="4:4">
      <c r="D638996" t="s">
        <v>156</v>
      </c>
    </row>
    <row r="638997" spans="4:4">
      <c r="D638997" t="s">
        <v>156</v>
      </c>
    </row>
    <row r="638998" spans="4:4">
      <c r="D638998" t="s">
        <v>156</v>
      </c>
    </row>
    <row r="638999" spans="4:4">
      <c r="D638999" t="s">
        <v>156</v>
      </c>
    </row>
    <row r="639000" spans="4:4">
      <c r="D639000" t="s">
        <v>156</v>
      </c>
    </row>
    <row r="639001" spans="4:4">
      <c r="D639001" t="s">
        <v>156</v>
      </c>
    </row>
    <row r="639002" spans="4:4">
      <c r="D639002" t="s">
        <v>156</v>
      </c>
    </row>
    <row r="639003" spans="4:4">
      <c r="D639003" t="s">
        <v>156</v>
      </c>
    </row>
    <row r="639004" spans="4:4">
      <c r="D639004" t="s">
        <v>156</v>
      </c>
    </row>
    <row r="639005" spans="4:4">
      <c r="D639005" t="s">
        <v>156</v>
      </c>
    </row>
    <row r="639006" spans="4:4">
      <c r="D639006" t="s">
        <v>156</v>
      </c>
    </row>
    <row r="639007" spans="4:4">
      <c r="D639007" t="s">
        <v>156</v>
      </c>
    </row>
    <row r="639008" spans="4:4">
      <c r="D639008" t="s">
        <v>156</v>
      </c>
    </row>
    <row r="639009" spans="4:4">
      <c r="D639009" t="s">
        <v>156</v>
      </c>
    </row>
    <row r="639010" spans="4:4">
      <c r="D639010" t="s">
        <v>156</v>
      </c>
    </row>
    <row r="639011" spans="4:4">
      <c r="D639011" t="s">
        <v>156</v>
      </c>
    </row>
    <row r="639012" spans="4:4">
      <c r="D639012" t="s">
        <v>156</v>
      </c>
    </row>
    <row r="639013" spans="4:4">
      <c r="D639013" t="s">
        <v>156</v>
      </c>
    </row>
    <row r="639014" spans="4:4">
      <c r="D639014" t="s">
        <v>156</v>
      </c>
    </row>
    <row r="639015" spans="4:4">
      <c r="D639015" t="s">
        <v>156</v>
      </c>
    </row>
    <row r="639016" spans="4:4">
      <c r="D639016" t="s">
        <v>156</v>
      </c>
    </row>
    <row r="639017" spans="4:4">
      <c r="D639017" t="s">
        <v>156</v>
      </c>
    </row>
    <row r="655360" spans="4:4">
      <c r="D655360" t="s">
        <v>155</v>
      </c>
    </row>
    <row r="655362" spans="4:4">
      <c r="D655362" t="s">
        <v>156</v>
      </c>
    </row>
    <row r="655363" spans="4:4">
      <c r="D655363" t="s">
        <v>156</v>
      </c>
    </row>
    <row r="655364" spans="4:4">
      <c r="D655364" t="s">
        <v>156</v>
      </c>
    </row>
    <row r="655365" spans="4:4">
      <c r="D655365" t="s">
        <v>156</v>
      </c>
    </row>
    <row r="655366" spans="4:4">
      <c r="D655366" t="s">
        <v>156</v>
      </c>
    </row>
    <row r="655367" spans="4:4">
      <c r="D655367" t="s">
        <v>156</v>
      </c>
    </row>
    <row r="655368" spans="4:4">
      <c r="D655368" t="s">
        <v>156</v>
      </c>
    </row>
    <row r="655369" spans="4:4">
      <c r="D655369" t="s">
        <v>156</v>
      </c>
    </row>
    <row r="655370" spans="4:4">
      <c r="D655370" t="s">
        <v>156</v>
      </c>
    </row>
    <row r="655371" spans="4:4">
      <c r="D655371" t="s">
        <v>156</v>
      </c>
    </row>
    <row r="655372" spans="4:4">
      <c r="D655372" t="s">
        <v>156</v>
      </c>
    </row>
    <row r="655373" spans="4:4">
      <c r="D655373" t="s">
        <v>156</v>
      </c>
    </row>
    <row r="655374" spans="4:4">
      <c r="D655374" t="s">
        <v>156</v>
      </c>
    </row>
    <row r="655375" spans="4:4">
      <c r="D655375" t="s">
        <v>156</v>
      </c>
    </row>
    <row r="655376" spans="4:4">
      <c r="D655376" t="s">
        <v>156</v>
      </c>
    </row>
    <row r="655377" spans="4:4">
      <c r="D655377" t="s">
        <v>156</v>
      </c>
    </row>
    <row r="655378" spans="4:4">
      <c r="D655378" t="s">
        <v>156</v>
      </c>
    </row>
    <row r="655379" spans="4:4">
      <c r="D655379" t="s">
        <v>156</v>
      </c>
    </row>
    <row r="655380" spans="4:4">
      <c r="D655380" t="s">
        <v>156</v>
      </c>
    </row>
    <row r="655381" spans="4:4">
      <c r="D655381" t="s">
        <v>156</v>
      </c>
    </row>
    <row r="655382" spans="4:4">
      <c r="D655382" t="s">
        <v>156</v>
      </c>
    </row>
    <row r="655383" spans="4:4">
      <c r="D655383" t="s">
        <v>156</v>
      </c>
    </row>
    <row r="655384" spans="4:4">
      <c r="D655384" t="s">
        <v>156</v>
      </c>
    </row>
    <row r="655385" spans="4:4">
      <c r="D655385" t="s">
        <v>156</v>
      </c>
    </row>
    <row r="655386" spans="4:4">
      <c r="D655386" t="s">
        <v>156</v>
      </c>
    </row>
    <row r="655387" spans="4:4">
      <c r="D655387" t="s">
        <v>156</v>
      </c>
    </row>
    <row r="655388" spans="4:4">
      <c r="D655388" t="s">
        <v>156</v>
      </c>
    </row>
    <row r="655389" spans="4:4">
      <c r="D655389" t="s">
        <v>156</v>
      </c>
    </row>
    <row r="655390" spans="4:4">
      <c r="D655390" t="s">
        <v>156</v>
      </c>
    </row>
    <row r="655391" spans="4:4">
      <c r="D655391" t="s">
        <v>156</v>
      </c>
    </row>
    <row r="655392" spans="4:4">
      <c r="D655392" t="s">
        <v>156</v>
      </c>
    </row>
    <row r="655393" spans="4:4">
      <c r="D655393" t="s">
        <v>156</v>
      </c>
    </row>
    <row r="655394" spans="4:4">
      <c r="D655394" t="s">
        <v>156</v>
      </c>
    </row>
    <row r="655395" spans="4:4">
      <c r="D655395" t="s">
        <v>156</v>
      </c>
    </row>
    <row r="655396" spans="4:4">
      <c r="D655396" t="s">
        <v>156</v>
      </c>
    </row>
    <row r="655397" spans="4:4">
      <c r="D655397" t="s">
        <v>156</v>
      </c>
    </row>
    <row r="655398" spans="4:4">
      <c r="D655398" t="s">
        <v>156</v>
      </c>
    </row>
    <row r="655399" spans="4:4">
      <c r="D655399" t="s">
        <v>156</v>
      </c>
    </row>
    <row r="655400" spans="4:4">
      <c r="D655400" t="s">
        <v>156</v>
      </c>
    </row>
    <row r="655401" spans="4:4">
      <c r="D655401" t="s">
        <v>156</v>
      </c>
    </row>
    <row r="671744" spans="4:4">
      <c r="D671744" t="s">
        <v>155</v>
      </c>
    </row>
    <row r="671746" spans="4:4">
      <c r="D671746" t="s">
        <v>156</v>
      </c>
    </row>
    <row r="671747" spans="4:4">
      <c r="D671747" t="s">
        <v>156</v>
      </c>
    </row>
    <row r="671748" spans="4:4">
      <c r="D671748" t="s">
        <v>156</v>
      </c>
    </row>
    <row r="671749" spans="4:4">
      <c r="D671749" t="s">
        <v>156</v>
      </c>
    </row>
    <row r="671750" spans="4:4">
      <c r="D671750" t="s">
        <v>156</v>
      </c>
    </row>
    <row r="671751" spans="4:4">
      <c r="D671751" t="s">
        <v>156</v>
      </c>
    </row>
    <row r="671752" spans="4:4">
      <c r="D671752" t="s">
        <v>156</v>
      </c>
    </row>
    <row r="671753" spans="4:4">
      <c r="D671753" t="s">
        <v>156</v>
      </c>
    </row>
    <row r="671754" spans="4:4">
      <c r="D671754" t="s">
        <v>156</v>
      </c>
    </row>
    <row r="671755" spans="4:4">
      <c r="D671755" t="s">
        <v>156</v>
      </c>
    </row>
    <row r="671756" spans="4:4">
      <c r="D671756" t="s">
        <v>156</v>
      </c>
    </row>
    <row r="671757" spans="4:4">
      <c r="D671757" t="s">
        <v>156</v>
      </c>
    </row>
    <row r="671758" spans="4:4">
      <c r="D671758" t="s">
        <v>156</v>
      </c>
    </row>
    <row r="671759" spans="4:4">
      <c r="D671759" t="s">
        <v>156</v>
      </c>
    </row>
    <row r="671760" spans="4:4">
      <c r="D671760" t="s">
        <v>156</v>
      </c>
    </row>
    <row r="671761" spans="4:4">
      <c r="D671761" t="s">
        <v>156</v>
      </c>
    </row>
    <row r="671762" spans="4:4">
      <c r="D671762" t="s">
        <v>156</v>
      </c>
    </row>
    <row r="671763" spans="4:4">
      <c r="D671763" t="s">
        <v>156</v>
      </c>
    </row>
    <row r="671764" spans="4:4">
      <c r="D671764" t="s">
        <v>156</v>
      </c>
    </row>
    <row r="671765" spans="4:4">
      <c r="D671765" t="s">
        <v>156</v>
      </c>
    </row>
    <row r="671766" spans="4:4">
      <c r="D671766" t="s">
        <v>156</v>
      </c>
    </row>
    <row r="671767" spans="4:4">
      <c r="D671767" t="s">
        <v>156</v>
      </c>
    </row>
    <row r="671768" spans="4:4">
      <c r="D671768" t="s">
        <v>156</v>
      </c>
    </row>
    <row r="671769" spans="4:4">
      <c r="D671769" t="s">
        <v>156</v>
      </c>
    </row>
    <row r="671770" spans="4:4">
      <c r="D671770" t="s">
        <v>156</v>
      </c>
    </row>
    <row r="671771" spans="4:4">
      <c r="D671771" t="s">
        <v>156</v>
      </c>
    </row>
    <row r="671772" spans="4:4">
      <c r="D671772" t="s">
        <v>156</v>
      </c>
    </row>
    <row r="671773" spans="4:4">
      <c r="D671773" t="s">
        <v>156</v>
      </c>
    </row>
    <row r="671774" spans="4:4">
      <c r="D671774" t="s">
        <v>156</v>
      </c>
    </row>
    <row r="671775" spans="4:4">
      <c r="D671775" t="s">
        <v>156</v>
      </c>
    </row>
    <row r="671776" spans="4:4">
      <c r="D671776" t="s">
        <v>156</v>
      </c>
    </row>
    <row r="671777" spans="4:4">
      <c r="D671777" t="s">
        <v>156</v>
      </c>
    </row>
    <row r="671778" spans="4:4">
      <c r="D671778" t="s">
        <v>156</v>
      </c>
    </row>
    <row r="671779" spans="4:4">
      <c r="D671779" t="s">
        <v>156</v>
      </c>
    </row>
    <row r="671780" spans="4:4">
      <c r="D671780" t="s">
        <v>156</v>
      </c>
    </row>
    <row r="671781" spans="4:4">
      <c r="D671781" t="s">
        <v>156</v>
      </c>
    </row>
    <row r="671782" spans="4:4">
      <c r="D671782" t="s">
        <v>156</v>
      </c>
    </row>
    <row r="671783" spans="4:4">
      <c r="D671783" t="s">
        <v>156</v>
      </c>
    </row>
    <row r="671784" spans="4:4">
      <c r="D671784" t="s">
        <v>156</v>
      </c>
    </row>
    <row r="671785" spans="4:4">
      <c r="D671785" t="s">
        <v>156</v>
      </c>
    </row>
    <row r="688128" spans="4:4">
      <c r="D688128" t="s">
        <v>155</v>
      </c>
    </row>
    <row r="688130" spans="4:4">
      <c r="D688130" t="s">
        <v>156</v>
      </c>
    </row>
    <row r="688131" spans="4:4">
      <c r="D688131" t="s">
        <v>156</v>
      </c>
    </row>
    <row r="688132" spans="4:4">
      <c r="D688132" t="s">
        <v>156</v>
      </c>
    </row>
    <row r="688133" spans="4:4">
      <c r="D688133" t="s">
        <v>156</v>
      </c>
    </row>
    <row r="688134" spans="4:4">
      <c r="D688134" t="s">
        <v>156</v>
      </c>
    </row>
    <row r="688135" spans="4:4">
      <c r="D688135" t="s">
        <v>156</v>
      </c>
    </row>
    <row r="688136" spans="4:4">
      <c r="D688136" t="s">
        <v>156</v>
      </c>
    </row>
    <row r="688137" spans="4:4">
      <c r="D688137" t="s">
        <v>156</v>
      </c>
    </row>
    <row r="688138" spans="4:4">
      <c r="D688138" t="s">
        <v>156</v>
      </c>
    </row>
    <row r="688139" spans="4:4">
      <c r="D688139" t="s">
        <v>156</v>
      </c>
    </row>
    <row r="688140" spans="4:4">
      <c r="D688140" t="s">
        <v>156</v>
      </c>
    </row>
    <row r="688141" spans="4:4">
      <c r="D688141" t="s">
        <v>156</v>
      </c>
    </row>
    <row r="688142" spans="4:4">
      <c r="D688142" t="s">
        <v>156</v>
      </c>
    </row>
    <row r="688143" spans="4:4">
      <c r="D688143" t="s">
        <v>156</v>
      </c>
    </row>
    <row r="688144" spans="4:4">
      <c r="D688144" t="s">
        <v>156</v>
      </c>
    </row>
    <row r="688145" spans="4:4">
      <c r="D688145" t="s">
        <v>156</v>
      </c>
    </row>
    <row r="688146" spans="4:4">
      <c r="D688146" t="s">
        <v>156</v>
      </c>
    </row>
    <row r="688147" spans="4:4">
      <c r="D688147" t="s">
        <v>156</v>
      </c>
    </row>
    <row r="688148" spans="4:4">
      <c r="D688148" t="s">
        <v>156</v>
      </c>
    </row>
    <row r="688149" spans="4:4">
      <c r="D688149" t="s">
        <v>156</v>
      </c>
    </row>
    <row r="688150" spans="4:4">
      <c r="D688150" t="s">
        <v>156</v>
      </c>
    </row>
    <row r="688151" spans="4:4">
      <c r="D688151" t="s">
        <v>156</v>
      </c>
    </row>
    <row r="688152" spans="4:4">
      <c r="D688152" t="s">
        <v>156</v>
      </c>
    </row>
    <row r="688153" spans="4:4">
      <c r="D688153" t="s">
        <v>156</v>
      </c>
    </row>
    <row r="688154" spans="4:4">
      <c r="D688154" t="s">
        <v>156</v>
      </c>
    </row>
    <row r="688155" spans="4:4">
      <c r="D688155" t="s">
        <v>156</v>
      </c>
    </row>
    <row r="688156" spans="4:4">
      <c r="D688156" t="s">
        <v>156</v>
      </c>
    </row>
    <row r="688157" spans="4:4">
      <c r="D688157" t="s">
        <v>156</v>
      </c>
    </row>
    <row r="688158" spans="4:4">
      <c r="D688158" t="s">
        <v>156</v>
      </c>
    </row>
    <row r="688159" spans="4:4">
      <c r="D688159" t="s">
        <v>156</v>
      </c>
    </row>
    <row r="688160" spans="4:4">
      <c r="D688160" t="s">
        <v>156</v>
      </c>
    </row>
    <row r="688161" spans="4:4">
      <c r="D688161" t="s">
        <v>156</v>
      </c>
    </row>
    <row r="688162" spans="4:4">
      <c r="D688162" t="s">
        <v>156</v>
      </c>
    </row>
    <row r="688163" spans="4:4">
      <c r="D688163" t="s">
        <v>156</v>
      </c>
    </row>
    <row r="688164" spans="4:4">
      <c r="D688164" t="s">
        <v>156</v>
      </c>
    </row>
    <row r="688165" spans="4:4">
      <c r="D688165" t="s">
        <v>156</v>
      </c>
    </row>
    <row r="688166" spans="4:4">
      <c r="D688166" t="s">
        <v>156</v>
      </c>
    </row>
    <row r="688167" spans="4:4">
      <c r="D688167" t="s">
        <v>156</v>
      </c>
    </row>
    <row r="688168" spans="4:4">
      <c r="D688168" t="s">
        <v>156</v>
      </c>
    </row>
    <row r="688169" spans="4:4">
      <c r="D688169" t="s">
        <v>156</v>
      </c>
    </row>
    <row r="704512" spans="4:4">
      <c r="D704512" t="s">
        <v>155</v>
      </c>
    </row>
    <row r="704514" spans="4:4">
      <c r="D704514" t="s">
        <v>156</v>
      </c>
    </row>
    <row r="704515" spans="4:4">
      <c r="D704515" t="s">
        <v>156</v>
      </c>
    </row>
    <row r="704516" spans="4:4">
      <c r="D704516" t="s">
        <v>156</v>
      </c>
    </row>
    <row r="704517" spans="4:4">
      <c r="D704517" t="s">
        <v>156</v>
      </c>
    </row>
    <row r="704518" spans="4:4">
      <c r="D704518" t="s">
        <v>156</v>
      </c>
    </row>
    <row r="704519" spans="4:4">
      <c r="D704519" t="s">
        <v>156</v>
      </c>
    </row>
    <row r="704520" spans="4:4">
      <c r="D704520" t="s">
        <v>156</v>
      </c>
    </row>
    <row r="704521" spans="4:4">
      <c r="D704521" t="s">
        <v>156</v>
      </c>
    </row>
    <row r="704522" spans="4:4">
      <c r="D704522" t="s">
        <v>156</v>
      </c>
    </row>
    <row r="704523" spans="4:4">
      <c r="D704523" t="s">
        <v>156</v>
      </c>
    </row>
    <row r="704524" spans="4:4">
      <c r="D704524" t="s">
        <v>156</v>
      </c>
    </row>
    <row r="704525" spans="4:4">
      <c r="D704525" t="s">
        <v>156</v>
      </c>
    </row>
    <row r="704526" spans="4:4">
      <c r="D704526" t="s">
        <v>156</v>
      </c>
    </row>
    <row r="704527" spans="4:4">
      <c r="D704527" t="s">
        <v>156</v>
      </c>
    </row>
    <row r="704528" spans="4:4">
      <c r="D704528" t="s">
        <v>156</v>
      </c>
    </row>
    <row r="704529" spans="4:4">
      <c r="D704529" t="s">
        <v>156</v>
      </c>
    </row>
    <row r="704530" spans="4:4">
      <c r="D704530" t="s">
        <v>156</v>
      </c>
    </row>
    <row r="704531" spans="4:4">
      <c r="D704531" t="s">
        <v>156</v>
      </c>
    </row>
    <row r="704532" spans="4:4">
      <c r="D704532" t="s">
        <v>156</v>
      </c>
    </row>
    <row r="704533" spans="4:4">
      <c r="D704533" t="s">
        <v>156</v>
      </c>
    </row>
    <row r="704534" spans="4:4">
      <c r="D704534" t="s">
        <v>156</v>
      </c>
    </row>
    <row r="704535" spans="4:4">
      <c r="D704535" t="s">
        <v>156</v>
      </c>
    </row>
    <row r="704536" spans="4:4">
      <c r="D704536" t="s">
        <v>156</v>
      </c>
    </row>
    <row r="704537" spans="4:4">
      <c r="D704537" t="s">
        <v>156</v>
      </c>
    </row>
    <row r="704538" spans="4:4">
      <c r="D704538" t="s">
        <v>156</v>
      </c>
    </row>
    <row r="704539" spans="4:4">
      <c r="D704539" t="s">
        <v>156</v>
      </c>
    </row>
    <row r="704540" spans="4:4">
      <c r="D704540" t="s">
        <v>156</v>
      </c>
    </row>
    <row r="704541" spans="4:4">
      <c r="D704541" t="s">
        <v>156</v>
      </c>
    </row>
    <row r="704542" spans="4:4">
      <c r="D704542" t="s">
        <v>156</v>
      </c>
    </row>
    <row r="704543" spans="4:4">
      <c r="D704543" t="s">
        <v>156</v>
      </c>
    </row>
    <row r="704544" spans="4:4">
      <c r="D704544" t="s">
        <v>156</v>
      </c>
    </row>
    <row r="704545" spans="4:4">
      <c r="D704545" t="s">
        <v>156</v>
      </c>
    </row>
    <row r="704546" spans="4:4">
      <c r="D704546" t="s">
        <v>156</v>
      </c>
    </row>
    <row r="704547" spans="4:4">
      <c r="D704547" t="s">
        <v>156</v>
      </c>
    </row>
    <row r="704548" spans="4:4">
      <c r="D704548" t="s">
        <v>156</v>
      </c>
    </row>
    <row r="704549" spans="4:4">
      <c r="D704549" t="s">
        <v>156</v>
      </c>
    </row>
    <row r="704550" spans="4:4">
      <c r="D704550" t="s">
        <v>156</v>
      </c>
    </row>
    <row r="704551" spans="4:4">
      <c r="D704551" t="s">
        <v>156</v>
      </c>
    </row>
    <row r="704552" spans="4:4">
      <c r="D704552" t="s">
        <v>156</v>
      </c>
    </row>
    <row r="704553" spans="4:4">
      <c r="D704553" t="s">
        <v>156</v>
      </c>
    </row>
    <row r="720896" spans="4:4">
      <c r="D720896" t="s">
        <v>155</v>
      </c>
    </row>
    <row r="720898" spans="4:4">
      <c r="D720898" t="s">
        <v>156</v>
      </c>
    </row>
    <row r="720899" spans="4:4">
      <c r="D720899" t="s">
        <v>156</v>
      </c>
    </row>
    <row r="720900" spans="4:4">
      <c r="D720900" t="s">
        <v>156</v>
      </c>
    </row>
    <row r="720901" spans="4:4">
      <c r="D720901" t="s">
        <v>156</v>
      </c>
    </row>
    <row r="720902" spans="4:4">
      <c r="D720902" t="s">
        <v>156</v>
      </c>
    </row>
    <row r="720903" spans="4:4">
      <c r="D720903" t="s">
        <v>156</v>
      </c>
    </row>
    <row r="720904" spans="4:4">
      <c r="D720904" t="s">
        <v>156</v>
      </c>
    </row>
    <row r="720905" spans="4:4">
      <c r="D720905" t="s">
        <v>156</v>
      </c>
    </row>
    <row r="720906" spans="4:4">
      <c r="D720906" t="s">
        <v>156</v>
      </c>
    </row>
    <row r="720907" spans="4:4">
      <c r="D720907" t="s">
        <v>156</v>
      </c>
    </row>
    <row r="720908" spans="4:4">
      <c r="D720908" t="s">
        <v>156</v>
      </c>
    </row>
    <row r="720909" spans="4:4">
      <c r="D720909" t="s">
        <v>156</v>
      </c>
    </row>
    <row r="720910" spans="4:4">
      <c r="D720910" t="s">
        <v>156</v>
      </c>
    </row>
    <row r="720911" spans="4:4">
      <c r="D720911" t="s">
        <v>156</v>
      </c>
    </row>
    <row r="720912" spans="4:4">
      <c r="D720912" t="s">
        <v>156</v>
      </c>
    </row>
    <row r="720913" spans="4:4">
      <c r="D720913" t="s">
        <v>156</v>
      </c>
    </row>
    <row r="720914" spans="4:4">
      <c r="D720914" t="s">
        <v>156</v>
      </c>
    </row>
    <row r="720915" spans="4:4">
      <c r="D720915" t="s">
        <v>156</v>
      </c>
    </row>
    <row r="720916" spans="4:4">
      <c r="D720916" t="s">
        <v>156</v>
      </c>
    </row>
    <row r="720917" spans="4:4">
      <c r="D720917" t="s">
        <v>156</v>
      </c>
    </row>
    <row r="720918" spans="4:4">
      <c r="D720918" t="s">
        <v>156</v>
      </c>
    </row>
    <row r="720919" spans="4:4">
      <c r="D720919" t="s">
        <v>156</v>
      </c>
    </row>
    <row r="720920" spans="4:4">
      <c r="D720920" t="s">
        <v>156</v>
      </c>
    </row>
    <row r="720921" spans="4:4">
      <c r="D720921" t="s">
        <v>156</v>
      </c>
    </row>
    <row r="720922" spans="4:4">
      <c r="D720922" t="s">
        <v>156</v>
      </c>
    </row>
    <row r="720923" spans="4:4">
      <c r="D720923" t="s">
        <v>156</v>
      </c>
    </row>
    <row r="720924" spans="4:4">
      <c r="D720924" t="s">
        <v>156</v>
      </c>
    </row>
    <row r="720925" spans="4:4">
      <c r="D720925" t="s">
        <v>156</v>
      </c>
    </row>
    <row r="720926" spans="4:4">
      <c r="D720926" t="s">
        <v>156</v>
      </c>
    </row>
    <row r="720927" spans="4:4">
      <c r="D720927" t="s">
        <v>156</v>
      </c>
    </row>
    <row r="720928" spans="4:4">
      <c r="D720928" t="s">
        <v>156</v>
      </c>
    </row>
    <row r="720929" spans="4:4">
      <c r="D720929" t="s">
        <v>156</v>
      </c>
    </row>
    <row r="720930" spans="4:4">
      <c r="D720930" t="s">
        <v>156</v>
      </c>
    </row>
    <row r="720931" spans="4:4">
      <c r="D720931" t="s">
        <v>156</v>
      </c>
    </row>
    <row r="720932" spans="4:4">
      <c r="D720932" t="s">
        <v>156</v>
      </c>
    </row>
    <row r="720933" spans="4:4">
      <c r="D720933" t="s">
        <v>156</v>
      </c>
    </row>
    <row r="720934" spans="4:4">
      <c r="D720934" t="s">
        <v>156</v>
      </c>
    </row>
    <row r="720935" spans="4:4">
      <c r="D720935" t="s">
        <v>156</v>
      </c>
    </row>
    <row r="720936" spans="4:4">
      <c r="D720936" t="s">
        <v>156</v>
      </c>
    </row>
    <row r="720937" spans="4:4">
      <c r="D720937" t="s">
        <v>156</v>
      </c>
    </row>
    <row r="737280" spans="4:4">
      <c r="D737280" t="s">
        <v>155</v>
      </c>
    </row>
    <row r="737282" spans="4:4">
      <c r="D737282" t="s">
        <v>156</v>
      </c>
    </row>
    <row r="737283" spans="4:4">
      <c r="D737283" t="s">
        <v>156</v>
      </c>
    </row>
    <row r="737284" spans="4:4">
      <c r="D737284" t="s">
        <v>156</v>
      </c>
    </row>
    <row r="737285" spans="4:4">
      <c r="D737285" t="s">
        <v>156</v>
      </c>
    </row>
    <row r="737286" spans="4:4">
      <c r="D737286" t="s">
        <v>156</v>
      </c>
    </row>
    <row r="737287" spans="4:4">
      <c r="D737287" t="s">
        <v>156</v>
      </c>
    </row>
    <row r="737288" spans="4:4">
      <c r="D737288" t="s">
        <v>156</v>
      </c>
    </row>
    <row r="737289" spans="4:4">
      <c r="D737289" t="s">
        <v>156</v>
      </c>
    </row>
    <row r="737290" spans="4:4">
      <c r="D737290" t="s">
        <v>156</v>
      </c>
    </row>
    <row r="737291" spans="4:4">
      <c r="D737291" t="s">
        <v>156</v>
      </c>
    </row>
    <row r="737292" spans="4:4">
      <c r="D737292" t="s">
        <v>156</v>
      </c>
    </row>
    <row r="737293" spans="4:4">
      <c r="D737293" t="s">
        <v>156</v>
      </c>
    </row>
    <row r="737294" spans="4:4">
      <c r="D737294" t="s">
        <v>156</v>
      </c>
    </row>
    <row r="737295" spans="4:4">
      <c r="D737295" t="s">
        <v>156</v>
      </c>
    </row>
    <row r="737296" spans="4:4">
      <c r="D737296" t="s">
        <v>156</v>
      </c>
    </row>
    <row r="737297" spans="4:4">
      <c r="D737297" t="s">
        <v>156</v>
      </c>
    </row>
    <row r="737298" spans="4:4">
      <c r="D737298" t="s">
        <v>156</v>
      </c>
    </row>
    <row r="737299" spans="4:4">
      <c r="D737299" t="s">
        <v>156</v>
      </c>
    </row>
    <row r="737300" spans="4:4">
      <c r="D737300" t="s">
        <v>156</v>
      </c>
    </row>
    <row r="737301" spans="4:4">
      <c r="D737301" t="s">
        <v>156</v>
      </c>
    </row>
    <row r="737302" spans="4:4">
      <c r="D737302" t="s">
        <v>156</v>
      </c>
    </row>
    <row r="737303" spans="4:4">
      <c r="D737303" t="s">
        <v>156</v>
      </c>
    </row>
    <row r="737304" spans="4:4">
      <c r="D737304" t="s">
        <v>156</v>
      </c>
    </row>
    <row r="737305" spans="4:4">
      <c r="D737305" t="s">
        <v>156</v>
      </c>
    </row>
    <row r="737306" spans="4:4">
      <c r="D737306" t="s">
        <v>156</v>
      </c>
    </row>
    <row r="737307" spans="4:4">
      <c r="D737307" t="s">
        <v>156</v>
      </c>
    </row>
    <row r="737308" spans="4:4">
      <c r="D737308" t="s">
        <v>156</v>
      </c>
    </row>
    <row r="737309" spans="4:4">
      <c r="D737309" t="s">
        <v>156</v>
      </c>
    </row>
    <row r="737310" spans="4:4">
      <c r="D737310" t="s">
        <v>156</v>
      </c>
    </row>
    <row r="737311" spans="4:4">
      <c r="D737311" t="s">
        <v>156</v>
      </c>
    </row>
    <row r="737312" spans="4:4">
      <c r="D737312" t="s">
        <v>156</v>
      </c>
    </row>
    <row r="737313" spans="4:4">
      <c r="D737313" t="s">
        <v>156</v>
      </c>
    </row>
    <row r="737314" spans="4:4">
      <c r="D737314" t="s">
        <v>156</v>
      </c>
    </row>
    <row r="737315" spans="4:4">
      <c r="D737315" t="s">
        <v>156</v>
      </c>
    </row>
    <row r="737316" spans="4:4">
      <c r="D737316" t="s">
        <v>156</v>
      </c>
    </row>
    <row r="737317" spans="4:4">
      <c r="D737317" t="s">
        <v>156</v>
      </c>
    </row>
    <row r="737318" spans="4:4">
      <c r="D737318" t="s">
        <v>156</v>
      </c>
    </row>
    <row r="737319" spans="4:4">
      <c r="D737319" t="s">
        <v>156</v>
      </c>
    </row>
    <row r="737320" spans="4:4">
      <c r="D737320" t="s">
        <v>156</v>
      </c>
    </row>
    <row r="737321" spans="4:4">
      <c r="D737321" t="s">
        <v>156</v>
      </c>
    </row>
    <row r="753664" spans="4:4">
      <c r="D753664" t="s">
        <v>155</v>
      </c>
    </row>
    <row r="753666" spans="4:4">
      <c r="D753666" t="s">
        <v>156</v>
      </c>
    </row>
    <row r="753667" spans="4:4">
      <c r="D753667" t="s">
        <v>156</v>
      </c>
    </row>
    <row r="753668" spans="4:4">
      <c r="D753668" t="s">
        <v>156</v>
      </c>
    </row>
    <row r="753669" spans="4:4">
      <c r="D753669" t="s">
        <v>156</v>
      </c>
    </row>
    <row r="753670" spans="4:4">
      <c r="D753670" t="s">
        <v>156</v>
      </c>
    </row>
    <row r="753671" spans="4:4">
      <c r="D753671" t="s">
        <v>156</v>
      </c>
    </row>
    <row r="753672" spans="4:4">
      <c r="D753672" t="s">
        <v>156</v>
      </c>
    </row>
    <row r="753673" spans="4:4">
      <c r="D753673" t="s">
        <v>156</v>
      </c>
    </row>
    <row r="753674" spans="4:4">
      <c r="D753674" t="s">
        <v>156</v>
      </c>
    </row>
    <row r="753675" spans="4:4">
      <c r="D753675" t="s">
        <v>156</v>
      </c>
    </row>
    <row r="753676" spans="4:4">
      <c r="D753676" t="s">
        <v>156</v>
      </c>
    </row>
    <row r="753677" spans="4:4">
      <c r="D753677" t="s">
        <v>156</v>
      </c>
    </row>
    <row r="753678" spans="4:4">
      <c r="D753678" t="s">
        <v>156</v>
      </c>
    </row>
    <row r="753679" spans="4:4">
      <c r="D753679" t="s">
        <v>156</v>
      </c>
    </row>
    <row r="753680" spans="4:4">
      <c r="D753680" t="s">
        <v>156</v>
      </c>
    </row>
    <row r="753681" spans="4:4">
      <c r="D753681" t="s">
        <v>156</v>
      </c>
    </row>
    <row r="753682" spans="4:4">
      <c r="D753682" t="s">
        <v>156</v>
      </c>
    </row>
    <row r="753683" spans="4:4">
      <c r="D753683" t="s">
        <v>156</v>
      </c>
    </row>
    <row r="753684" spans="4:4">
      <c r="D753684" t="s">
        <v>156</v>
      </c>
    </row>
    <row r="753685" spans="4:4">
      <c r="D753685" t="s">
        <v>156</v>
      </c>
    </row>
    <row r="753686" spans="4:4">
      <c r="D753686" t="s">
        <v>156</v>
      </c>
    </row>
    <row r="753687" spans="4:4">
      <c r="D753687" t="s">
        <v>156</v>
      </c>
    </row>
    <row r="753688" spans="4:4">
      <c r="D753688" t="s">
        <v>156</v>
      </c>
    </row>
    <row r="753689" spans="4:4">
      <c r="D753689" t="s">
        <v>156</v>
      </c>
    </row>
    <row r="753690" spans="4:4">
      <c r="D753690" t="s">
        <v>156</v>
      </c>
    </row>
    <row r="753691" spans="4:4">
      <c r="D753691" t="s">
        <v>156</v>
      </c>
    </row>
    <row r="753692" spans="4:4">
      <c r="D753692" t="s">
        <v>156</v>
      </c>
    </row>
    <row r="753693" spans="4:4">
      <c r="D753693" t="s">
        <v>156</v>
      </c>
    </row>
    <row r="753694" spans="4:4">
      <c r="D753694" t="s">
        <v>156</v>
      </c>
    </row>
    <row r="753695" spans="4:4">
      <c r="D753695" t="s">
        <v>156</v>
      </c>
    </row>
    <row r="753696" spans="4:4">
      <c r="D753696" t="s">
        <v>156</v>
      </c>
    </row>
    <row r="753697" spans="4:4">
      <c r="D753697" t="s">
        <v>156</v>
      </c>
    </row>
    <row r="753698" spans="4:4">
      <c r="D753698" t="s">
        <v>156</v>
      </c>
    </row>
    <row r="753699" spans="4:4">
      <c r="D753699" t="s">
        <v>156</v>
      </c>
    </row>
    <row r="753700" spans="4:4">
      <c r="D753700" t="s">
        <v>156</v>
      </c>
    </row>
    <row r="753701" spans="4:4">
      <c r="D753701" t="s">
        <v>156</v>
      </c>
    </row>
    <row r="753702" spans="4:4">
      <c r="D753702" t="s">
        <v>156</v>
      </c>
    </row>
    <row r="753703" spans="4:4">
      <c r="D753703" t="s">
        <v>156</v>
      </c>
    </row>
    <row r="753704" spans="4:4">
      <c r="D753704" t="s">
        <v>156</v>
      </c>
    </row>
    <row r="753705" spans="4:4">
      <c r="D753705" t="s">
        <v>156</v>
      </c>
    </row>
    <row r="770048" spans="4:4">
      <c r="D770048" t="s">
        <v>155</v>
      </c>
    </row>
    <row r="770050" spans="4:4">
      <c r="D770050" t="s">
        <v>156</v>
      </c>
    </row>
    <row r="770051" spans="4:4">
      <c r="D770051" t="s">
        <v>156</v>
      </c>
    </row>
    <row r="770052" spans="4:4">
      <c r="D770052" t="s">
        <v>156</v>
      </c>
    </row>
    <row r="770053" spans="4:4">
      <c r="D770053" t="s">
        <v>156</v>
      </c>
    </row>
    <row r="770054" spans="4:4">
      <c r="D770054" t="s">
        <v>156</v>
      </c>
    </row>
    <row r="770055" spans="4:4">
      <c r="D770055" t="s">
        <v>156</v>
      </c>
    </row>
    <row r="770056" spans="4:4">
      <c r="D770056" t="s">
        <v>156</v>
      </c>
    </row>
    <row r="770057" spans="4:4">
      <c r="D770057" t="s">
        <v>156</v>
      </c>
    </row>
    <row r="770058" spans="4:4">
      <c r="D770058" t="s">
        <v>156</v>
      </c>
    </row>
    <row r="770059" spans="4:4">
      <c r="D770059" t="s">
        <v>156</v>
      </c>
    </row>
    <row r="770060" spans="4:4">
      <c r="D770060" t="s">
        <v>156</v>
      </c>
    </row>
    <row r="770061" spans="4:4">
      <c r="D770061" t="s">
        <v>156</v>
      </c>
    </row>
    <row r="770062" spans="4:4">
      <c r="D770062" t="s">
        <v>156</v>
      </c>
    </row>
    <row r="770063" spans="4:4">
      <c r="D770063" t="s">
        <v>156</v>
      </c>
    </row>
    <row r="770064" spans="4:4">
      <c r="D770064" t="s">
        <v>156</v>
      </c>
    </row>
    <row r="770065" spans="4:4">
      <c r="D770065" t="s">
        <v>156</v>
      </c>
    </row>
    <row r="770066" spans="4:4">
      <c r="D770066" t="s">
        <v>156</v>
      </c>
    </row>
    <row r="770067" spans="4:4">
      <c r="D770067" t="s">
        <v>156</v>
      </c>
    </row>
    <row r="770068" spans="4:4">
      <c r="D770068" t="s">
        <v>156</v>
      </c>
    </row>
    <row r="770069" spans="4:4">
      <c r="D770069" t="s">
        <v>156</v>
      </c>
    </row>
    <row r="770070" spans="4:4">
      <c r="D770070" t="s">
        <v>156</v>
      </c>
    </row>
    <row r="770071" spans="4:4">
      <c r="D770071" t="s">
        <v>156</v>
      </c>
    </row>
    <row r="770072" spans="4:4">
      <c r="D770072" t="s">
        <v>156</v>
      </c>
    </row>
    <row r="770073" spans="4:4">
      <c r="D770073" t="s">
        <v>156</v>
      </c>
    </row>
    <row r="770074" spans="4:4">
      <c r="D770074" t="s">
        <v>156</v>
      </c>
    </row>
    <row r="770075" spans="4:4">
      <c r="D770075" t="s">
        <v>156</v>
      </c>
    </row>
    <row r="770076" spans="4:4">
      <c r="D770076" t="s">
        <v>156</v>
      </c>
    </row>
    <row r="770077" spans="4:4">
      <c r="D770077" t="s">
        <v>156</v>
      </c>
    </row>
    <row r="770078" spans="4:4">
      <c r="D770078" t="s">
        <v>156</v>
      </c>
    </row>
    <row r="770079" spans="4:4">
      <c r="D770079" t="s">
        <v>156</v>
      </c>
    </row>
    <row r="770080" spans="4:4">
      <c r="D770080" t="s">
        <v>156</v>
      </c>
    </row>
    <row r="770081" spans="4:4">
      <c r="D770081" t="s">
        <v>156</v>
      </c>
    </row>
    <row r="770082" spans="4:4">
      <c r="D770082" t="s">
        <v>156</v>
      </c>
    </row>
    <row r="770083" spans="4:4">
      <c r="D770083" t="s">
        <v>156</v>
      </c>
    </row>
    <row r="770084" spans="4:4">
      <c r="D770084" t="s">
        <v>156</v>
      </c>
    </row>
    <row r="770085" spans="4:4">
      <c r="D770085" t="s">
        <v>156</v>
      </c>
    </row>
    <row r="770086" spans="4:4">
      <c r="D770086" t="s">
        <v>156</v>
      </c>
    </row>
    <row r="770087" spans="4:4">
      <c r="D770087" t="s">
        <v>156</v>
      </c>
    </row>
    <row r="770088" spans="4:4">
      <c r="D770088" t="s">
        <v>156</v>
      </c>
    </row>
    <row r="770089" spans="4:4">
      <c r="D770089" t="s">
        <v>156</v>
      </c>
    </row>
    <row r="786432" spans="4:4">
      <c r="D786432" t="s">
        <v>155</v>
      </c>
    </row>
    <row r="786434" spans="4:4">
      <c r="D786434" t="s">
        <v>156</v>
      </c>
    </row>
    <row r="786435" spans="4:4">
      <c r="D786435" t="s">
        <v>156</v>
      </c>
    </row>
    <row r="786436" spans="4:4">
      <c r="D786436" t="s">
        <v>156</v>
      </c>
    </row>
    <row r="786437" spans="4:4">
      <c r="D786437" t="s">
        <v>156</v>
      </c>
    </row>
    <row r="786438" spans="4:4">
      <c r="D786438" t="s">
        <v>156</v>
      </c>
    </row>
    <row r="786439" spans="4:4">
      <c r="D786439" t="s">
        <v>156</v>
      </c>
    </row>
    <row r="786440" spans="4:4">
      <c r="D786440" t="s">
        <v>156</v>
      </c>
    </row>
    <row r="786441" spans="4:4">
      <c r="D786441" t="s">
        <v>156</v>
      </c>
    </row>
    <row r="786442" spans="4:4">
      <c r="D786442" t="s">
        <v>156</v>
      </c>
    </row>
    <row r="786443" spans="4:4">
      <c r="D786443" t="s">
        <v>156</v>
      </c>
    </row>
    <row r="786444" spans="4:4">
      <c r="D786444" t="s">
        <v>156</v>
      </c>
    </row>
    <row r="786445" spans="4:4">
      <c r="D786445" t="s">
        <v>156</v>
      </c>
    </row>
    <row r="786446" spans="4:4">
      <c r="D786446" t="s">
        <v>156</v>
      </c>
    </row>
    <row r="786447" spans="4:4">
      <c r="D786447" t="s">
        <v>156</v>
      </c>
    </row>
    <row r="786448" spans="4:4">
      <c r="D786448" t="s">
        <v>156</v>
      </c>
    </row>
    <row r="786449" spans="4:4">
      <c r="D786449" t="s">
        <v>156</v>
      </c>
    </row>
    <row r="786450" spans="4:4">
      <c r="D786450" t="s">
        <v>156</v>
      </c>
    </row>
    <row r="786451" spans="4:4">
      <c r="D786451" t="s">
        <v>156</v>
      </c>
    </row>
    <row r="786452" spans="4:4">
      <c r="D786452" t="s">
        <v>156</v>
      </c>
    </row>
    <row r="786453" spans="4:4">
      <c r="D786453" t="s">
        <v>156</v>
      </c>
    </row>
    <row r="786454" spans="4:4">
      <c r="D786454" t="s">
        <v>156</v>
      </c>
    </row>
    <row r="786455" spans="4:4">
      <c r="D786455" t="s">
        <v>156</v>
      </c>
    </row>
    <row r="786456" spans="4:4">
      <c r="D786456" t="s">
        <v>156</v>
      </c>
    </row>
    <row r="786457" spans="4:4">
      <c r="D786457" t="s">
        <v>156</v>
      </c>
    </row>
    <row r="786458" spans="4:4">
      <c r="D786458" t="s">
        <v>156</v>
      </c>
    </row>
    <row r="786459" spans="4:4">
      <c r="D786459" t="s">
        <v>156</v>
      </c>
    </row>
    <row r="786460" spans="4:4">
      <c r="D786460" t="s">
        <v>156</v>
      </c>
    </row>
    <row r="786461" spans="4:4">
      <c r="D786461" t="s">
        <v>156</v>
      </c>
    </row>
    <row r="786462" spans="4:4">
      <c r="D786462" t="s">
        <v>156</v>
      </c>
    </row>
    <row r="786463" spans="4:4">
      <c r="D786463" t="s">
        <v>156</v>
      </c>
    </row>
    <row r="786464" spans="4:4">
      <c r="D786464" t="s">
        <v>156</v>
      </c>
    </row>
    <row r="786465" spans="4:4">
      <c r="D786465" t="s">
        <v>156</v>
      </c>
    </row>
    <row r="786466" spans="4:4">
      <c r="D786466" t="s">
        <v>156</v>
      </c>
    </row>
    <row r="786467" spans="4:4">
      <c r="D786467" t="s">
        <v>156</v>
      </c>
    </row>
    <row r="786468" spans="4:4">
      <c r="D786468" t="s">
        <v>156</v>
      </c>
    </row>
    <row r="786469" spans="4:4">
      <c r="D786469" t="s">
        <v>156</v>
      </c>
    </row>
    <row r="786470" spans="4:4">
      <c r="D786470" t="s">
        <v>156</v>
      </c>
    </row>
    <row r="786471" spans="4:4">
      <c r="D786471" t="s">
        <v>156</v>
      </c>
    </row>
    <row r="786472" spans="4:4">
      <c r="D786472" t="s">
        <v>156</v>
      </c>
    </row>
    <row r="786473" spans="4:4">
      <c r="D786473" t="s">
        <v>156</v>
      </c>
    </row>
    <row r="802816" spans="4:4">
      <c r="D802816" t="s">
        <v>155</v>
      </c>
    </row>
    <row r="802818" spans="4:4">
      <c r="D802818" t="s">
        <v>156</v>
      </c>
    </row>
    <row r="802819" spans="4:4">
      <c r="D802819" t="s">
        <v>156</v>
      </c>
    </row>
    <row r="802820" spans="4:4">
      <c r="D802820" t="s">
        <v>156</v>
      </c>
    </row>
    <row r="802821" spans="4:4">
      <c r="D802821" t="s">
        <v>156</v>
      </c>
    </row>
    <row r="802822" spans="4:4">
      <c r="D802822" t="s">
        <v>156</v>
      </c>
    </row>
    <row r="802823" spans="4:4">
      <c r="D802823" t="s">
        <v>156</v>
      </c>
    </row>
    <row r="802824" spans="4:4">
      <c r="D802824" t="s">
        <v>156</v>
      </c>
    </row>
    <row r="802825" spans="4:4">
      <c r="D802825" t="s">
        <v>156</v>
      </c>
    </row>
    <row r="802826" spans="4:4">
      <c r="D802826" t="s">
        <v>156</v>
      </c>
    </row>
    <row r="802827" spans="4:4">
      <c r="D802827" t="s">
        <v>156</v>
      </c>
    </row>
    <row r="802828" spans="4:4">
      <c r="D802828" t="s">
        <v>156</v>
      </c>
    </row>
    <row r="802829" spans="4:4">
      <c r="D802829" t="s">
        <v>156</v>
      </c>
    </row>
    <row r="802830" spans="4:4">
      <c r="D802830" t="s">
        <v>156</v>
      </c>
    </row>
    <row r="802831" spans="4:4">
      <c r="D802831" t="s">
        <v>156</v>
      </c>
    </row>
    <row r="802832" spans="4:4">
      <c r="D802832" t="s">
        <v>156</v>
      </c>
    </row>
    <row r="802833" spans="4:4">
      <c r="D802833" t="s">
        <v>156</v>
      </c>
    </row>
    <row r="802834" spans="4:4">
      <c r="D802834" t="s">
        <v>156</v>
      </c>
    </row>
    <row r="802835" spans="4:4">
      <c r="D802835" t="s">
        <v>156</v>
      </c>
    </row>
    <row r="802836" spans="4:4">
      <c r="D802836" t="s">
        <v>156</v>
      </c>
    </row>
    <row r="802837" spans="4:4">
      <c r="D802837" t="s">
        <v>156</v>
      </c>
    </row>
    <row r="802838" spans="4:4">
      <c r="D802838" t="s">
        <v>156</v>
      </c>
    </row>
    <row r="802839" spans="4:4">
      <c r="D802839" t="s">
        <v>156</v>
      </c>
    </row>
    <row r="802840" spans="4:4">
      <c r="D802840" t="s">
        <v>156</v>
      </c>
    </row>
    <row r="802841" spans="4:4">
      <c r="D802841" t="s">
        <v>156</v>
      </c>
    </row>
    <row r="802842" spans="4:4">
      <c r="D802842" t="s">
        <v>156</v>
      </c>
    </row>
    <row r="802843" spans="4:4">
      <c r="D802843" t="s">
        <v>156</v>
      </c>
    </row>
    <row r="802844" spans="4:4">
      <c r="D802844" t="s">
        <v>156</v>
      </c>
    </row>
    <row r="802845" spans="4:4">
      <c r="D802845" t="s">
        <v>156</v>
      </c>
    </row>
    <row r="802846" spans="4:4">
      <c r="D802846" t="s">
        <v>156</v>
      </c>
    </row>
    <row r="802847" spans="4:4">
      <c r="D802847" t="s">
        <v>156</v>
      </c>
    </row>
    <row r="802848" spans="4:4">
      <c r="D802848" t="s">
        <v>156</v>
      </c>
    </row>
    <row r="802849" spans="4:4">
      <c r="D802849" t="s">
        <v>156</v>
      </c>
    </row>
    <row r="802850" spans="4:4">
      <c r="D802850" t="s">
        <v>156</v>
      </c>
    </row>
    <row r="802851" spans="4:4">
      <c r="D802851" t="s">
        <v>156</v>
      </c>
    </row>
    <row r="802852" spans="4:4">
      <c r="D802852" t="s">
        <v>156</v>
      </c>
    </row>
    <row r="802853" spans="4:4">
      <c r="D802853" t="s">
        <v>156</v>
      </c>
    </row>
    <row r="802854" spans="4:4">
      <c r="D802854" t="s">
        <v>156</v>
      </c>
    </row>
    <row r="802855" spans="4:4">
      <c r="D802855" t="s">
        <v>156</v>
      </c>
    </row>
    <row r="802856" spans="4:4">
      <c r="D802856" t="s">
        <v>156</v>
      </c>
    </row>
    <row r="802857" spans="4:4">
      <c r="D802857" t="s">
        <v>156</v>
      </c>
    </row>
    <row r="819200" spans="4:4">
      <c r="D819200" t="s">
        <v>155</v>
      </c>
    </row>
    <row r="819202" spans="4:4">
      <c r="D819202" t="s">
        <v>156</v>
      </c>
    </row>
    <row r="819203" spans="4:4">
      <c r="D819203" t="s">
        <v>156</v>
      </c>
    </row>
    <row r="819204" spans="4:4">
      <c r="D819204" t="s">
        <v>156</v>
      </c>
    </row>
    <row r="819205" spans="4:4">
      <c r="D819205" t="s">
        <v>156</v>
      </c>
    </row>
    <row r="819206" spans="4:4">
      <c r="D819206" t="s">
        <v>156</v>
      </c>
    </row>
    <row r="819207" spans="4:4">
      <c r="D819207" t="s">
        <v>156</v>
      </c>
    </row>
    <row r="819208" spans="4:4">
      <c r="D819208" t="s">
        <v>156</v>
      </c>
    </row>
    <row r="819209" spans="4:4">
      <c r="D819209" t="s">
        <v>156</v>
      </c>
    </row>
    <row r="819210" spans="4:4">
      <c r="D819210" t="s">
        <v>156</v>
      </c>
    </row>
    <row r="819211" spans="4:4">
      <c r="D819211" t="s">
        <v>156</v>
      </c>
    </row>
    <row r="819212" spans="4:4">
      <c r="D819212" t="s">
        <v>156</v>
      </c>
    </row>
    <row r="819213" spans="4:4">
      <c r="D819213" t="s">
        <v>156</v>
      </c>
    </row>
    <row r="819214" spans="4:4">
      <c r="D819214" t="s">
        <v>156</v>
      </c>
    </row>
    <row r="819215" spans="4:4">
      <c r="D819215" t="s">
        <v>156</v>
      </c>
    </row>
    <row r="819216" spans="4:4">
      <c r="D819216" t="s">
        <v>156</v>
      </c>
    </row>
    <row r="819217" spans="4:4">
      <c r="D819217" t="s">
        <v>156</v>
      </c>
    </row>
    <row r="819218" spans="4:4">
      <c r="D819218" t="s">
        <v>156</v>
      </c>
    </row>
    <row r="819219" spans="4:4">
      <c r="D819219" t="s">
        <v>156</v>
      </c>
    </row>
    <row r="819220" spans="4:4">
      <c r="D819220" t="s">
        <v>156</v>
      </c>
    </row>
    <row r="819221" spans="4:4">
      <c r="D819221" t="s">
        <v>156</v>
      </c>
    </row>
    <row r="819222" spans="4:4">
      <c r="D819222" t="s">
        <v>156</v>
      </c>
    </row>
    <row r="819223" spans="4:4">
      <c r="D819223" t="s">
        <v>156</v>
      </c>
    </row>
    <row r="819224" spans="4:4">
      <c r="D819224" t="s">
        <v>156</v>
      </c>
    </row>
    <row r="819225" spans="4:4">
      <c r="D819225" t="s">
        <v>156</v>
      </c>
    </row>
    <row r="819226" spans="4:4">
      <c r="D819226" t="s">
        <v>156</v>
      </c>
    </row>
    <row r="819227" spans="4:4">
      <c r="D819227" t="s">
        <v>156</v>
      </c>
    </row>
    <row r="819228" spans="4:4">
      <c r="D819228" t="s">
        <v>156</v>
      </c>
    </row>
    <row r="819229" spans="4:4">
      <c r="D819229" t="s">
        <v>156</v>
      </c>
    </row>
    <row r="819230" spans="4:4">
      <c r="D819230" t="s">
        <v>156</v>
      </c>
    </row>
    <row r="819231" spans="4:4">
      <c r="D819231" t="s">
        <v>156</v>
      </c>
    </row>
    <row r="819232" spans="4:4">
      <c r="D819232" t="s">
        <v>156</v>
      </c>
    </row>
    <row r="819233" spans="4:4">
      <c r="D819233" t="s">
        <v>156</v>
      </c>
    </row>
    <row r="819234" spans="4:4">
      <c r="D819234" t="s">
        <v>156</v>
      </c>
    </row>
    <row r="819235" spans="4:4">
      <c r="D819235" t="s">
        <v>156</v>
      </c>
    </row>
    <row r="819236" spans="4:4">
      <c r="D819236" t="s">
        <v>156</v>
      </c>
    </row>
    <row r="819237" spans="4:4">
      <c r="D819237" t="s">
        <v>156</v>
      </c>
    </row>
    <row r="819238" spans="4:4">
      <c r="D819238" t="s">
        <v>156</v>
      </c>
    </row>
    <row r="819239" spans="4:4">
      <c r="D819239" t="s">
        <v>156</v>
      </c>
    </row>
    <row r="819240" spans="4:4">
      <c r="D819240" t="s">
        <v>156</v>
      </c>
    </row>
    <row r="819241" spans="4:4">
      <c r="D819241" t="s">
        <v>156</v>
      </c>
    </row>
    <row r="835584" spans="4:4">
      <c r="D835584" t="s">
        <v>155</v>
      </c>
    </row>
    <row r="835586" spans="4:4">
      <c r="D835586" t="s">
        <v>156</v>
      </c>
    </row>
    <row r="835587" spans="4:4">
      <c r="D835587" t="s">
        <v>156</v>
      </c>
    </row>
    <row r="835588" spans="4:4">
      <c r="D835588" t="s">
        <v>156</v>
      </c>
    </row>
    <row r="835589" spans="4:4">
      <c r="D835589" t="s">
        <v>156</v>
      </c>
    </row>
    <row r="835590" spans="4:4">
      <c r="D835590" t="s">
        <v>156</v>
      </c>
    </row>
    <row r="835591" spans="4:4">
      <c r="D835591" t="s">
        <v>156</v>
      </c>
    </row>
    <row r="835592" spans="4:4">
      <c r="D835592" t="s">
        <v>156</v>
      </c>
    </row>
    <row r="835593" spans="4:4">
      <c r="D835593" t="s">
        <v>156</v>
      </c>
    </row>
    <row r="835594" spans="4:4">
      <c r="D835594" t="s">
        <v>156</v>
      </c>
    </row>
    <row r="835595" spans="4:4">
      <c r="D835595" t="s">
        <v>156</v>
      </c>
    </row>
    <row r="835596" spans="4:4">
      <c r="D835596" t="s">
        <v>156</v>
      </c>
    </row>
    <row r="835597" spans="4:4">
      <c r="D835597" t="s">
        <v>156</v>
      </c>
    </row>
    <row r="835598" spans="4:4">
      <c r="D835598" t="s">
        <v>156</v>
      </c>
    </row>
    <row r="835599" spans="4:4">
      <c r="D835599" t="s">
        <v>156</v>
      </c>
    </row>
    <row r="835600" spans="4:4">
      <c r="D835600" t="s">
        <v>156</v>
      </c>
    </row>
    <row r="835601" spans="4:4">
      <c r="D835601" t="s">
        <v>156</v>
      </c>
    </row>
    <row r="835602" spans="4:4">
      <c r="D835602" t="s">
        <v>156</v>
      </c>
    </row>
    <row r="835603" spans="4:4">
      <c r="D835603" t="s">
        <v>156</v>
      </c>
    </row>
    <row r="835604" spans="4:4">
      <c r="D835604" t="s">
        <v>156</v>
      </c>
    </row>
    <row r="835605" spans="4:4">
      <c r="D835605" t="s">
        <v>156</v>
      </c>
    </row>
    <row r="835606" spans="4:4">
      <c r="D835606" t="s">
        <v>156</v>
      </c>
    </row>
    <row r="835607" spans="4:4">
      <c r="D835607" t="s">
        <v>156</v>
      </c>
    </row>
    <row r="835608" spans="4:4">
      <c r="D835608" t="s">
        <v>156</v>
      </c>
    </row>
    <row r="835609" spans="4:4">
      <c r="D835609" t="s">
        <v>156</v>
      </c>
    </row>
    <row r="835610" spans="4:4">
      <c r="D835610" t="s">
        <v>156</v>
      </c>
    </row>
    <row r="835611" spans="4:4">
      <c r="D835611" t="s">
        <v>156</v>
      </c>
    </row>
    <row r="835612" spans="4:4">
      <c r="D835612" t="s">
        <v>156</v>
      </c>
    </row>
    <row r="835613" spans="4:4">
      <c r="D835613" t="s">
        <v>156</v>
      </c>
    </row>
    <row r="835614" spans="4:4">
      <c r="D835614" t="s">
        <v>156</v>
      </c>
    </row>
    <row r="835615" spans="4:4">
      <c r="D835615" t="s">
        <v>156</v>
      </c>
    </row>
    <row r="835616" spans="4:4">
      <c r="D835616" t="s">
        <v>156</v>
      </c>
    </row>
    <row r="835617" spans="4:4">
      <c r="D835617" t="s">
        <v>156</v>
      </c>
    </row>
    <row r="835618" spans="4:4">
      <c r="D835618" t="s">
        <v>156</v>
      </c>
    </row>
    <row r="835619" spans="4:4">
      <c r="D835619" t="s">
        <v>156</v>
      </c>
    </row>
    <row r="835620" spans="4:4">
      <c r="D835620" t="s">
        <v>156</v>
      </c>
    </row>
    <row r="835621" spans="4:4">
      <c r="D835621" t="s">
        <v>156</v>
      </c>
    </row>
    <row r="835622" spans="4:4">
      <c r="D835622" t="s">
        <v>156</v>
      </c>
    </row>
    <row r="835623" spans="4:4">
      <c r="D835623" t="s">
        <v>156</v>
      </c>
    </row>
    <row r="835624" spans="4:4">
      <c r="D835624" t="s">
        <v>156</v>
      </c>
    </row>
    <row r="835625" spans="4:4">
      <c r="D835625" t="s">
        <v>156</v>
      </c>
    </row>
    <row r="851968" spans="4:4">
      <c r="D851968" t="s">
        <v>155</v>
      </c>
    </row>
    <row r="851970" spans="4:4">
      <c r="D851970" t="s">
        <v>156</v>
      </c>
    </row>
    <row r="851971" spans="4:4">
      <c r="D851971" t="s">
        <v>156</v>
      </c>
    </row>
    <row r="851972" spans="4:4">
      <c r="D851972" t="s">
        <v>156</v>
      </c>
    </row>
    <row r="851973" spans="4:4">
      <c r="D851973" t="s">
        <v>156</v>
      </c>
    </row>
    <row r="851974" spans="4:4">
      <c r="D851974" t="s">
        <v>156</v>
      </c>
    </row>
    <row r="851975" spans="4:4">
      <c r="D851975" t="s">
        <v>156</v>
      </c>
    </row>
    <row r="851976" spans="4:4">
      <c r="D851976" t="s">
        <v>156</v>
      </c>
    </row>
    <row r="851977" spans="4:4">
      <c r="D851977" t="s">
        <v>156</v>
      </c>
    </row>
    <row r="851978" spans="4:4">
      <c r="D851978" t="s">
        <v>156</v>
      </c>
    </row>
    <row r="851979" spans="4:4">
      <c r="D851979" t="s">
        <v>156</v>
      </c>
    </row>
    <row r="851980" spans="4:4">
      <c r="D851980" t="s">
        <v>156</v>
      </c>
    </row>
    <row r="851981" spans="4:4">
      <c r="D851981" t="s">
        <v>156</v>
      </c>
    </row>
    <row r="851982" spans="4:4">
      <c r="D851982" t="s">
        <v>156</v>
      </c>
    </row>
    <row r="851983" spans="4:4">
      <c r="D851983" t="s">
        <v>156</v>
      </c>
    </row>
    <row r="851984" spans="4:4">
      <c r="D851984" t="s">
        <v>156</v>
      </c>
    </row>
    <row r="851985" spans="4:4">
      <c r="D851985" t="s">
        <v>156</v>
      </c>
    </row>
    <row r="851986" spans="4:4">
      <c r="D851986" t="s">
        <v>156</v>
      </c>
    </row>
    <row r="851987" spans="4:4">
      <c r="D851987" t="s">
        <v>156</v>
      </c>
    </row>
    <row r="851988" spans="4:4">
      <c r="D851988" t="s">
        <v>156</v>
      </c>
    </row>
    <row r="851989" spans="4:4">
      <c r="D851989" t="s">
        <v>156</v>
      </c>
    </row>
    <row r="851990" spans="4:4">
      <c r="D851990" t="s">
        <v>156</v>
      </c>
    </row>
    <row r="851991" spans="4:4">
      <c r="D851991" t="s">
        <v>156</v>
      </c>
    </row>
    <row r="851992" spans="4:4">
      <c r="D851992" t="s">
        <v>156</v>
      </c>
    </row>
    <row r="851993" spans="4:4">
      <c r="D851993" t="s">
        <v>156</v>
      </c>
    </row>
    <row r="851994" spans="4:4">
      <c r="D851994" t="s">
        <v>156</v>
      </c>
    </row>
    <row r="851995" spans="4:4">
      <c r="D851995" t="s">
        <v>156</v>
      </c>
    </row>
    <row r="851996" spans="4:4">
      <c r="D851996" t="s">
        <v>156</v>
      </c>
    </row>
    <row r="851997" spans="4:4">
      <c r="D851997" t="s">
        <v>156</v>
      </c>
    </row>
    <row r="851998" spans="4:4">
      <c r="D851998" t="s">
        <v>156</v>
      </c>
    </row>
    <row r="851999" spans="4:4">
      <c r="D851999" t="s">
        <v>156</v>
      </c>
    </row>
    <row r="852000" spans="4:4">
      <c r="D852000" t="s">
        <v>156</v>
      </c>
    </row>
    <row r="852001" spans="4:4">
      <c r="D852001" t="s">
        <v>156</v>
      </c>
    </row>
    <row r="852002" spans="4:4">
      <c r="D852002" t="s">
        <v>156</v>
      </c>
    </row>
    <row r="852003" spans="4:4">
      <c r="D852003" t="s">
        <v>156</v>
      </c>
    </row>
    <row r="852004" spans="4:4">
      <c r="D852004" t="s">
        <v>156</v>
      </c>
    </row>
    <row r="852005" spans="4:4">
      <c r="D852005" t="s">
        <v>156</v>
      </c>
    </row>
    <row r="852006" spans="4:4">
      <c r="D852006" t="s">
        <v>156</v>
      </c>
    </row>
    <row r="852007" spans="4:4">
      <c r="D852007" t="s">
        <v>156</v>
      </c>
    </row>
    <row r="852008" spans="4:4">
      <c r="D852008" t="s">
        <v>156</v>
      </c>
    </row>
    <row r="852009" spans="4:4">
      <c r="D852009" t="s">
        <v>156</v>
      </c>
    </row>
    <row r="868352" spans="4:4">
      <c r="D868352" t="s">
        <v>155</v>
      </c>
    </row>
    <row r="868354" spans="4:4">
      <c r="D868354" t="s">
        <v>156</v>
      </c>
    </row>
    <row r="868355" spans="4:4">
      <c r="D868355" t="s">
        <v>156</v>
      </c>
    </row>
    <row r="868356" spans="4:4">
      <c r="D868356" t="s">
        <v>156</v>
      </c>
    </row>
    <row r="868357" spans="4:4">
      <c r="D868357" t="s">
        <v>156</v>
      </c>
    </row>
    <row r="868358" spans="4:4">
      <c r="D868358" t="s">
        <v>156</v>
      </c>
    </row>
    <row r="868359" spans="4:4">
      <c r="D868359" t="s">
        <v>156</v>
      </c>
    </row>
    <row r="868360" spans="4:4">
      <c r="D868360" t="s">
        <v>156</v>
      </c>
    </row>
    <row r="868361" spans="4:4">
      <c r="D868361" t="s">
        <v>156</v>
      </c>
    </row>
    <row r="868362" spans="4:4">
      <c r="D868362" t="s">
        <v>156</v>
      </c>
    </row>
    <row r="868363" spans="4:4">
      <c r="D868363" t="s">
        <v>156</v>
      </c>
    </row>
    <row r="868364" spans="4:4">
      <c r="D868364" t="s">
        <v>156</v>
      </c>
    </row>
    <row r="868365" spans="4:4">
      <c r="D868365" t="s">
        <v>156</v>
      </c>
    </row>
    <row r="868366" spans="4:4">
      <c r="D868366" t="s">
        <v>156</v>
      </c>
    </row>
    <row r="868367" spans="4:4">
      <c r="D868367" t="s">
        <v>156</v>
      </c>
    </row>
    <row r="868368" spans="4:4">
      <c r="D868368" t="s">
        <v>156</v>
      </c>
    </row>
    <row r="868369" spans="4:4">
      <c r="D868369" t="s">
        <v>156</v>
      </c>
    </row>
    <row r="868370" spans="4:4">
      <c r="D868370" t="s">
        <v>156</v>
      </c>
    </row>
    <row r="868371" spans="4:4">
      <c r="D868371" t="s">
        <v>156</v>
      </c>
    </row>
    <row r="868372" spans="4:4">
      <c r="D868372" t="s">
        <v>156</v>
      </c>
    </row>
    <row r="868373" spans="4:4">
      <c r="D868373" t="s">
        <v>156</v>
      </c>
    </row>
    <row r="868374" spans="4:4">
      <c r="D868374" t="s">
        <v>156</v>
      </c>
    </row>
    <row r="868375" spans="4:4">
      <c r="D868375" t="s">
        <v>156</v>
      </c>
    </row>
    <row r="868376" spans="4:4">
      <c r="D868376" t="s">
        <v>156</v>
      </c>
    </row>
    <row r="868377" spans="4:4">
      <c r="D868377" t="s">
        <v>156</v>
      </c>
    </row>
    <row r="868378" spans="4:4">
      <c r="D868378" t="s">
        <v>156</v>
      </c>
    </row>
    <row r="868379" spans="4:4">
      <c r="D868379" t="s">
        <v>156</v>
      </c>
    </row>
    <row r="868380" spans="4:4">
      <c r="D868380" t="s">
        <v>156</v>
      </c>
    </row>
    <row r="868381" spans="4:4">
      <c r="D868381" t="s">
        <v>156</v>
      </c>
    </row>
    <row r="868382" spans="4:4">
      <c r="D868382" t="s">
        <v>156</v>
      </c>
    </row>
    <row r="868383" spans="4:4">
      <c r="D868383" t="s">
        <v>156</v>
      </c>
    </row>
    <row r="868384" spans="4:4">
      <c r="D868384" t="s">
        <v>156</v>
      </c>
    </row>
    <row r="868385" spans="4:4">
      <c r="D868385" t="s">
        <v>156</v>
      </c>
    </row>
    <row r="868386" spans="4:4">
      <c r="D868386" t="s">
        <v>156</v>
      </c>
    </row>
    <row r="868387" spans="4:4">
      <c r="D868387" t="s">
        <v>156</v>
      </c>
    </row>
    <row r="868388" spans="4:4">
      <c r="D868388" t="s">
        <v>156</v>
      </c>
    </row>
    <row r="868389" spans="4:4">
      <c r="D868389" t="s">
        <v>156</v>
      </c>
    </row>
    <row r="868390" spans="4:4">
      <c r="D868390" t="s">
        <v>156</v>
      </c>
    </row>
    <row r="868391" spans="4:4">
      <c r="D868391" t="s">
        <v>156</v>
      </c>
    </row>
    <row r="868392" spans="4:4">
      <c r="D868392" t="s">
        <v>156</v>
      </c>
    </row>
    <row r="868393" spans="4:4">
      <c r="D868393" t="s">
        <v>156</v>
      </c>
    </row>
    <row r="884736" spans="4:4">
      <c r="D884736" t="s">
        <v>155</v>
      </c>
    </row>
    <row r="884738" spans="4:4">
      <c r="D884738" t="s">
        <v>156</v>
      </c>
    </row>
    <row r="884739" spans="4:4">
      <c r="D884739" t="s">
        <v>156</v>
      </c>
    </row>
    <row r="884740" spans="4:4">
      <c r="D884740" t="s">
        <v>156</v>
      </c>
    </row>
    <row r="884741" spans="4:4">
      <c r="D884741" t="s">
        <v>156</v>
      </c>
    </row>
    <row r="884742" spans="4:4">
      <c r="D884742" t="s">
        <v>156</v>
      </c>
    </row>
    <row r="884743" spans="4:4">
      <c r="D884743" t="s">
        <v>156</v>
      </c>
    </row>
    <row r="884744" spans="4:4">
      <c r="D884744" t="s">
        <v>156</v>
      </c>
    </row>
    <row r="884745" spans="4:4">
      <c r="D884745" t="s">
        <v>156</v>
      </c>
    </row>
    <row r="884746" spans="4:4">
      <c r="D884746" t="s">
        <v>156</v>
      </c>
    </row>
    <row r="884747" spans="4:4">
      <c r="D884747" t="s">
        <v>156</v>
      </c>
    </row>
    <row r="884748" spans="4:4">
      <c r="D884748" t="s">
        <v>156</v>
      </c>
    </row>
    <row r="884749" spans="4:4">
      <c r="D884749" t="s">
        <v>156</v>
      </c>
    </row>
    <row r="884750" spans="4:4">
      <c r="D884750" t="s">
        <v>156</v>
      </c>
    </row>
    <row r="884751" spans="4:4">
      <c r="D884751" t="s">
        <v>156</v>
      </c>
    </row>
    <row r="884752" spans="4:4">
      <c r="D884752" t="s">
        <v>156</v>
      </c>
    </row>
    <row r="884753" spans="4:4">
      <c r="D884753" t="s">
        <v>156</v>
      </c>
    </row>
    <row r="884754" spans="4:4">
      <c r="D884754" t="s">
        <v>156</v>
      </c>
    </row>
    <row r="884755" spans="4:4">
      <c r="D884755" t="s">
        <v>156</v>
      </c>
    </row>
    <row r="884756" spans="4:4">
      <c r="D884756" t="s">
        <v>156</v>
      </c>
    </row>
    <row r="884757" spans="4:4">
      <c r="D884757" t="s">
        <v>156</v>
      </c>
    </row>
    <row r="884758" spans="4:4">
      <c r="D884758" t="s">
        <v>156</v>
      </c>
    </row>
    <row r="884759" spans="4:4">
      <c r="D884759" t="s">
        <v>156</v>
      </c>
    </row>
    <row r="884760" spans="4:4">
      <c r="D884760" t="s">
        <v>156</v>
      </c>
    </row>
    <row r="884761" spans="4:4">
      <c r="D884761" t="s">
        <v>156</v>
      </c>
    </row>
    <row r="884762" spans="4:4">
      <c r="D884762" t="s">
        <v>156</v>
      </c>
    </row>
    <row r="884763" spans="4:4">
      <c r="D884763" t="s">
        <v>156</v>
      </c>
    </row>
    <row r="884764" spans="4:4">
      <c r="D884764" t="s">
        <v>156</v>
      </c>
    </row>
    <row r="884765" spans="4:4">
      <c r="D884765" t="s">
        <v>156</v>
      </c>
    </row>
    <row r="884766" spans="4:4">
      <c r="D884766" t="s">
        <v>156</v>
      </c>
    </row>
    <row r="884767" spans="4:4">
      <c r="D884767" t="s">
        <v>156</v>
      </c>
    </row>
    <row r="884768" spans="4:4">
      <c r="D884768" t="s">
        <v>156</v>
      </c>
    </row>
    <row r="884769" spans="4:4">
      <c r="D884769" t="s">
        <v>156</v>
      </c>
    </row>
    <row r="884770" spans="4:4">
      <c r="D884770" t="s">
        <v>156</v>
      </c>
    </row>
    <row r="884771" spans="4:4">
      <c r="D884771" t="s">
        <v>156</v>
      </c>
    </row>
    <row r="884772" spans="4:4">
      <c r="D884772" t="s">
        <v>156</v>
      </c>
    </row>
    <row r="884773" spans="4:4">
      <c r="D884773" t="s">
        <v>156</v>
      </c>
    </row>
    <row r="884774" spans="4:4">
      <c r="D884774" t="s">
        <v>156</v>
      </c>
    </row>
    <row r="884775" spans="4:4">
      <c r="D884775" t="s">
        <v>156</v>
      </c>
    </row>
    <row r="884776" spans="4:4">
      <c r="D884776" t="s">
        <v>156</v>
      </c>
    </row>
    <row r="884777" spans="4:4">
      <c r="D884777" t="s">
        <v>156</v>
      </c>
    </row>
    <row r="901120" spans="4:4">
      <c r="D901120" t="s">
        <v>155</v>
      </c>
    </row>
    <row r="901122" spans="4:4">
      <c r="D901122" t="s">
        <v>156</v>
      </c>
    </row>
    <row r="901123" spans="4:4">
      <c r="D901123" t="s">
        <v>156</v>
      </c>
    </row>
    <row r="901124" spans="4:4">
      <c r="D901124" t="s">
        <v>156</v>
      </c>
    </row>
    <row r="901125" spans="4:4">
      <c r="D901125" t="s">
        <v>156</v>
      </c>
    </row>
    <row r="901126" spans="4:4">
      <c r="D901126" t="s">
        <v>156</v>
      </c>
    </row>
    <row r="901127" spans="4:4">
      <c r="D901127" t="s">
        <v>156</v>
      </c>
    </row>
    <row r="901128" spans="4:4">
      <c r="D901128" t="s">
        <v>156</v>
      </c>
    </row>
    <row r="901129" spans="4:4">
      <c r="D901129" t="s">
        <v>156</v>
      </c>
    </row>
    <row r="901130" spans="4:4">
      <c r="D901130" t="s">
        <v>156</v>
      </c>
    </row>
    <row r="901131" spans="4:4">
      <c r="D901131" t="s">
        <v>156</v>
      </c>
    </row>
    <row r="901132" spans="4:4">
      <c r="D901132" t="s">
        <v>156</v>
      </c>
    </row>
    <row r="901133" spans="4:4">
      <c r="D901133" t="s">
        <v>156</v>
      </c>
    </row>
    <row r="901134" spans="4:4">
      <c r="D901134" t="s">
        <v>156</v>
      </c>
    </row>
    <row r="901135" spans="4:4">
      <c r="D901135" t="s">
        <v>156</v>
      </c>
    </row>
    <row r="901136" spans="4:4">
      <c r="D901136" t="s">
        <v>156</v>
      </c>
    </row>
    <row r="901137" spans="4:4">
      <c r="D901137" t="s">
        <v>156</v>
      </c>
    </row>
    <row r="901138" spans="4:4">
      <c r="D901138" t="s">
        <v>156</v>
      </c>
    </row>
    <row r="901139" spans="4:4">
      <c r="D901139" t="s">
        <v>156</v>
      </c>
    </row>
    <row r="901140" spans="4:4">
      <c r="D901140" t="s">
        <v>156</v>
      </c>
    </row>
    <row r="901141" spans="4:4">
      <c r="D901141" t="s">
        <v>156</v>
      </c>
    </row>
    <row r="901142" spans="4:4">
      <c r="D901142" t="s">
        <v>156</v>
      </c>
    </row>
    <row r="901143" spans="4:4">
      <c r="D901143" t="s">
        <v>156</v>
      </c>
    </row>
    <row r="901144" spans="4:4">
      <c r="D901144" t="s">
        <v>156</v>
      </c>
    </row>
    <row r="901145" spans="4:4">
      <c r="D901145" t="s">
        <v>156</v>
      </c>
    </row>
    <row r="901146" spans="4:4">
      <c r="D901146" t="s">
        <v>156</v>
      </c>
    </row>
    <row r="901147" spans="4:4">
      <c r="D901147" t="s">
        <v>156</v>
      </c>
    </row>
    <row r="901148" spans="4:4">
      <c r="D901148" t="s">
        <v>156</v>
      </c>
    </row>
    <row r="901149" spans="4:4">
      <c r="D901149" t="s">
        <v>156</v>
      </c>
    </row>
    <row r="901150" spans="4:4">
      <c r="D901150" t="s">
        <v>156</v>
      </c>
    </row>
    <row r="901151" spans="4:4">
      <c r="D901151" t="s">
        <v>156</v>
      </c>
    </row>
    <row r="901152" spans="4:4">
      <c r="D901152" t="s">
        <v>156</v>
      </c>
    </row>
    <row r="901153" spans="4:4">
      <c r="D901153" t="s">
        <v>156</v>
      </c>
    </row>
    <row r="901154" spans="4:4">
      <c r="D901154" t="s">
        <v>156</v>
      </c>
    </row>
    <row r="901155" spans="4:4">
      <c r="D901155" t="s">
        <v>156</v>
      </c>
    </row>
    <row r="901156" spans="4:4">
      <c r="D901156" t="s">
        <v>156</v>
      </c>
    </row>
    <row r="901157" spans="4:4">
      <c r="D901157" t="s">
        <v>156</v>
      </c>
    </row>
    <row r="901158" spans="4:4">
      <c r="D901158" t="s">
        <v>156</v>
      </c>
    </row>
    <row r="901159" spans="4:4">
      <c r="D901159" t="s">
        <v>156</v>
      </c>
    </row>
    <row r="901160" spans="4:4">
      <c r="D901160" t="s">
        <v>156</v>
      </c>
    </row>
    <row r="901161" spans="4:4">
      <c r="D901161" t="s">
        <v>156</v>
      </c>
    </row>
    <row r="917504" spans="4:4">
      <c r="D917504" t="s">
        <v>155</v>
      </c>
    </row>
    <row r="917506" spans="4:4">
      <c r="D917506" t="s">
        <v>156</v>
      </c>
    </row>
    <row r="917507" spans="4:4">
      <c r="D917507" t="s">
        <v>156</v>
      </c>
    </row>
    <row r="917508" spans="4:4">
      <c r="D917508" t="s">
        <v>156</v>
      </c>
    </row>
    <row r="917509" spans="4:4">
      <c r="D917509" t="s">
        <v>156</v>
      </c>
    </row>
    <row r="917510" spans="4:4">
      <c r="D917510" t="s">
        <v>156</v>
      </c>
    </row>
    <row r="917511" spans="4:4">
      <c r="D917511" t="s">
        <v>156</v>
      </c>
    </row>
    <row r="917512" spans="4:4">
      <c r="D917512" t="s">
        <v>156</v>
      </c>
    </row>
    <row r="917513" spans="4:4">
      <c r="D917513" t="s">
        <v>156</v>
      </c>
    </row>
    <row r="917514" spans="4:4">
      <c r="D917514" t="s">
        <v>156</v>
      </c>
    </row>
    <row r="917515" spans="4:4">
      <c r="D917515" t="s">
        <v>156</v>
      </c>
    </row>
    <row r="917516" spans="4:4">
      <c r="D917516" t="s">
        <v>156</v>
      </c>
    </row>
    <row r="917517" spans="4:4">
      <c r="D917517" t="s">
        <v>156</v>
      </c>
    </row>
    <row r="917518" spans="4:4">
      <c r="D917518" t="s">
        <v>156</v>
      </c>
    </row>
    <row r="917519" spans="4:4">
      <c r="D917519" t="s">
        <v>156</v>
      </c>
    </row>
    <row r="917520" spans="4:4">
      <c r="D917520" t="s">
        <v>156</v>
      </c>
    </row>
    <row r="917521" spans="4:4">
      <c r="D917521" t="s">
        <v>156</v>
      </c>
    </row>
    <row r="917522" spans="4:4">
      <c r="D917522" t="s">
        <v>156</v>
      </c>
    </row>
    <row r="917523" spans="4:4">
      <c r="D917523" t="s">
        <v>156</v>
      </c>
    </row>
    <row r="917524" spans="4:4">
      <c r="D917524" t="s">
        <v>156</v>
      </c>
    </row>
    <row r="917525" spans="4:4">
      <c r="D917525" t="s">
        <v>156</v>
      </c>
    </row>
    <row r="917526" spans="4:4">
      <c r="D917526" t="s">
        <v>156</v>
      </c>
    </row>
    <row r="917527" spans="4:4">
      <c r="D917527" t="s">
        <v>156</v>
      </c>
    </row>
    <row r="917528" spans="4:4">
      <c r="D917528" t="s">
        <v>156</v>
      </c>
    </row>
    <row r="917529" spans="4:4">
      <c r="D917529" t="s">
        <v>156</v>
      </c>
    </row>
    <row r="917530" spans="4:4">
      <c r="D917530" t="s">
        <v>156</v>
      </c>
    </row>
    <row r="917531" spans="4:4">
      <c r="D917531" t="s">
        <v>156</v>
      </c>
    </row>
    <row r="917532" spans="4:4">
      <c r="D917532" t="s">
        <v>156</v>
      </c>
    </row>
    <row r="917533" spans="4:4">
      <c r="D917533" t="s">
        <v>156</v>
      </c>
    </row>
    <row r="917534" spans="4:4">
      <c r="D917534" t="s">
        <v>156</v>
      </c>
    </row>
    <row r="917535" spans="4:4">
      <c r="D917535" t="s">
        <v>156</v>
      </c>
    </row>
    <row r="917536" spans="4:4">
      <c r="D917536" t="s">
        <v>156</v>
      </c>
    </row>
    <row r="917537" spans="4:4">
      <c r="D917537" t="s">
        <v>156</v>
      </c>
    </row>
    <row r="917538" spans="4:4">
      <c r="D917538" t="s">
        <v>156</v>
      </c>
    </row>
    <row r="917539" spans="4:4">
      <c r="D917539" t="s">
        <v>156</v>
      </c>
    </row>
    <row r="917540" spans="4:4">
      <c r="D917540" t="s">
        <v>156</v>
      </c>
    </row>
    <row r="917541" spans="4:4">
      <c r="D917541" t="s">
        <v>156</v>
      </c>
    </row>
    <row r="917542" spans="4:4">
      <c r="D917542" t="s">
        <v>156</v>
      </c>
    </row>
    <row r="917543" spans="4:4">
      <c r="D917543" t="s">
        <v>156</v>
      </c>
    </row>
    <row r="917544" spans="4:4">
      <c r="D917544" t="s">
        <v>156</v>
      </c>
    </row>
    <row r="917545" spans="4:4">
      <c r="D917545" t="s">
        <v>156</v>
      </c>
    </row>
    <row r="933888" spans="4:4">
      <c r="D933888" t="s">
        <v>155</v>
      </c>
    </row>
    <row r="933890" spans="4:4">
      <c r="D933890" t="s">
        <v>156</v>
      </c>
    </row>
    <row r="933891" spans="4:4">
      <c r="D933891" t="s">
        <v>156</v>
      </c>
    </row>
    <row r="933892" spans="4:4">
      <c r="D933892" t="s">
        <v>156</v>
      </c>
    </row>
    <row r="933893" spans="4:4">
      <c r="D933893" t="s">
        <v>156</v>
      </c>
    </row>
    <row r="933894" spans="4:4">
      <c r="D933894" t="s">
        <v>156</v>
      </c>
    </row>
    <row r="933895" spans="4:4">
      <c r="D933895" t="s">
        <v>156</v>
      </c>
    </row>
    <row r="933896" spans="4:4">
      <c r="D933896" t="s">
        <v>156</v>
      </c>
    </row>
    <row r="933897" spans="4:4">
      <c r="D933897" t="s">
        <v>156</v>
      </c>
    </row>
    <row r="933898" spans="4:4">
      <c r="D933898" t="s">
        <v>156</v>
      </c>
    </row>
    <row r="933899" spans="4:4">
      <c r="D933899" t="s">
        <v>156</v>
      </c>
    </row>
    <row r="933900" spans="4:4">
      <c r="D933900" t="s">
        <v>156</v>
      </c>
    </row>
    <row r="933901" spans="4:4">
      <c r="D933901" t="s">
        <v>156</v>
      </c>
    </row>
    <row r="933902" spans="4:4">
      <c r="D933902" t="s">
        <v>156</v>
      </c>
    </row>
    <row r="933903" spans="4:4">
      <c r="D933903" t="s">
        <v>156</v>
      </c>
    </row>
    <row r="933904" spans="4:4">
      <c r="D933904" t="s">
        <v>156</v>
      </c>
    </row>
    <row r="933905" spans="4:4">
      <c r="D933905" t="s">
        <v>156</v>
      </c>
    </row>
    <row r="933906" spans="4:4">
      <c r="D933906" t="s">
        <v>156</v>
      </c>
    </row>
    <row r="933907" spans="4:4">
      <c r="D933907" t="s">
        <v>156</v>
      </c>
    </row>
    <row r="933908" spans="4:4">
      <c r="D933908" t="s">
        <v>156</v>
      </c>
    </row>
    <row r="933909" spans="4:4">
      <c r="D933909" t="s">
        <v>156</v>
      </c>
    </row>
    <row r="933910" spans="4:4">
      <c r="D933910" t="s">
        <v>156</v>
      </c>
    </row>
    <row r="933911" spans="4:4">
      <c r="D933911" t="s">
        <v>156</v>
      </c>
    </row>
    <row r="933912" spans="4:4">
      <c r="D933912" t="s">
        <v>156</v>
      </c>
    </row>
    <row r="933913" spans="4:4">
      <c r="D933913" t="s">
        <v>156</v>
      </c>
    </row>
    <row r="933914" spans="4:4">
      <c r="D933914" t="s">
        <v>156</v>
      </c>
    </row>
    <row r="933915" spans="4:4">
      <c r="D933915" t="s">
        <v>156</v>
      </c>
    </row>
    <row r="933916" spans="4:4">
      <c r="D933916" t="s">
        <v>156</v>
      </c>
    </row>
    <row r="933917" spans="4:4">
      <c r="D933917" t="s">
        <v>156</v>
      </c>
    </row>
    <row r="933918" spans="4:4">
      <c r="D933918" t="s">
        <v>156</v>
      </c>
    </row>
    <row r="933919" spans="4:4">
      <c r="D933919" t="s">
        <v>156</v>
      </c>
    </row>
    <row r="933920" spans="4:4">
      <c r="D933920" t="s">
        <v>156</v>
      </c>
    </row>
    <row r="933921" spans="4:4">
      <c r="D933921" t="s">
        <v>156</v>
      </c>
    </row>
    <row r="933922" spans="4:4">
      <c r="D933922" t="s">
        <v>156</v>
      </c>
    </row>
    <row r="933923" spans="4:4">
      <c r="D933923" t="s">
        <v>156</v>
      </c>
    </row>
    <row r="933924" spans="4:4">
      <c r="D933924" t="s">
        <v>156</v>
      </c>
    </row>
    <row r="933925" spans="4:4">
      <c r="D933925" t="s">
        <v>156</v>
      </c>
    </row>
    <row r="933926" spans="4:4">
      <c r="D933926" t="s">
        <v>156</v>
      </c>
    </row>
    <row r="933927" spans="4:4">
      <c r="D933927" t="s">
        <v>156</v>
      </c>
    </row>
    <row r="933928" spans="4:4">
      <c r="D933928" t="s">
        <v>156</v>
      </c>
    </row>
    <row r="933929" spans="4:4">
      <c r="D933929" t="s">
        <v>156</v>
      </c>
    </row>
    <row r="950272" spans="4:4">
      <c r="D950272" t="s">
        <v>155</v>
      </c>
    </row>
    <row r="950274" spans="4:4">
      <c r="D950274" t="s">
        <v>156</v>
      </c>
    </row>
    <row r="950275" spans="4:4">
      <c r="D950275" t="s">
        <v>156</v>
      </c>
    </row>
    <row r="950276" spans="4:4">
      <c r="D950276" t="s">
        <v>156</v>
      </c>
    </row>
    <row r="950277" spans="4:4">
      <c r="D950277" t="s">
        <v>156</v>
      </c>
    </row>
    <row r="950278" spans="4:4">
      <c r="D950278" t="s">
        <v>156</v>
      </c>
    </row>
    <row r="950279" spans="4:4">
      <c r="D950279" t="s">
        <v>156</v>
      </c>
    </row>
    <row r="950280" spans="4:4">
      <c r="D950280" t="s">
        <v>156</v>
      </c>
    </row>
    <row r="950281" spans="4:4">
      <c r="D950281" t="s">
        <v>156</v>
      </c>
    </row>
    <row r="950282" spans="4:4">
      <c r="D950282" t="s">
        <v>156</v>
      </c>
    </row>
    <row r="950283" spans="4:4">
      <c r="D950283" t="s">
        <v>156</v>
      </c>
    </row>
    <row r="950284" spans="4:4">
      <c r="D950284" t="s">
        <v>156</v>
      </c>
    </row>
    <row r="950285" spans="4:4">
      <c r="D950285" t="s">
        <v>156</v>
      </c>
    </row>
    <row r="950286" spans="4:4">
      <c r="D950286" t="s">
        <v>156</v>
      </c>
    </row>
    <row r="950287" spans="4:4">
      <c r="D950287" t="s">
        <v>156</v>
      </c>
    </row>
    <row r="950288" spans="4:4">
      <c r="D950288" t="s">
        <v>156</v>
      </c>
    </row>
    <row r="950289" spans="4:4">
      <c r="D950289" t="s">
        <v>156</v>
      </c>
    </row>
    <row r="950290" spans="4:4">
      <c r="D950290" t="s">
        <v>156</v>
      </c>
    </row>
    <row r="950291" spans="4:4">
      <c r="D950291" t="s">
        <v>156</v>
      </c>
    </row>
    <row r="950292" spans="4:4">
      <c r="D950292" t="s">
        <v>156</v>
      </c>
    </row>
    <row r="950293" spans="4:4">
      <c r="D950293" t="s">
        <v>156</v>
      </c>
    </row>
    <row r="950294" spans="4:4">
      <c r="D950294" t="s">
        <v>156</v>
      </c>
    </row>
    <row r="950295" spans="4:4">
      <c r="D950295" t="s">
        <v>156</v>
      </c>
    </row>
    <row r="950296" spans="4:4">
      <c r="D950296" t="s">
        <v>156</v>
      </c>
    </row>
    <row r="950297" spans="4:4">
      <c r="D950297" t="s">
        <v>156</v>
      </c>
    </row>
    <row r="950298" spans="4:4">
      <c r="D950298" t="s">
        <v>156</v>
      </c>
    </row>
    <row r="950299" spans="4:4">
      <c r="D950299" t="s">
        <v>156</v>
      </c>
    </row>
    <row r="950300" spans="4:4">
      <c r="D950300" t="s">
        <v>156</v>
      </c>
    </row>
    <row r="950301" spans="4:4">
      <c r="D950301" t="s">
        <v>156</v>
      </c>
    </row>
    <row r="950302" spans="4:4">
      <c r="D950302" t="s">
        <v>156</v>
      </c>
    </row>
    <row r="950303" spans="4:4">
      <c r="D950303" t="s">
        <v>156</v>
      </c>
    </row>
    <row r="950304" spans="4:4">
      <c r="D950304" t="s">
        <v>156</v>
      </c>
    </row>
    <row r="950305" spans="4:4">
      <c r="D950305" t="s">
        <v>156</v>
      </c>
    </row>
    <row r="950306" spans="4:4">
      <c r="D950306" t="s">
        <v>156</v>
      </c>
    </row>
    <row r="950307" spans="4:4">
      <c r="D950307" t="s">
        <v>156</v>
      </c>
    </row>
    <row r="950308" spans="4:4">
      <c r="D950308" t="s">
        <v>156</v>
      </c>
    </row>
    <row r="950309" spans="4:4">
      <c r="D950309" t="s">
        <v>156</v>
      </c>
    </row>
    <row r="950310" spans="4:4">
      <c r="D950310" t="s">
        <v>156</v>
      </c>
    </row>
    <row r="950311" spans="4:4">
      <c r="D950311" t="s">
        <v>156</v>
      </c>
    </row>
    <row r="950312" spans="4:4">
      <c r="D950312" t="s">
        <v>156</v>
      </c>
    </row>
    <row r="950313" spans="4:4">
      <c r="D950313" t="s">
        <v>156</v>
      </c>
    </row>
    <row r="966656" spans="4:4">
      <c r="D966656" t="s">
        <v>155</v>
      </c>
    </row>
    <row r="966658" spans="4:4">
      <c r="D966658" t="s">
        <v>156</v>
      </c>
    </row>
    <row r="966659" spans="4:4">
      <c r="D966659" t="s">
        <v>156</v>
      </c>
    </row>
    <row r="966660" spans="4:4">
      <c r="D966660" t="s">
        <v>156</v>
      </c>
    </row>
    <row r="966661" spans="4:4">
      <c r="D966661" t="s">
        <v>156</v>
      </c>
    </row>
    <row r="966662" spans="4:4">
      <c r="D966662" t="s">
        <v>156</v>
      </c>
    </row>
    <row r="966663" spans="4:4">
      <c r="D966663" t="s">
        <v>156</v>
      </c>
    </row>
    <row r="966664" spans="4:4">
      <c r="D966664" t="s">
        <v>156</v>
      </c>
    </row>
    <row r="966665" spans="4:4">
      <c r="D966665" t="s">
        <v>156</v>
      </c>
    </row>
    <row r="966666" spans="4:4">
      <c r="D966666" t="s">
        <v>156</v>
      </c>
    </row>
    <row r="966667" spans="4:4">
      <c r="D966667" t="s">
        <v>156</v>
      </c>
    </row>
    <row r="966668" spans="4:4">
      <c r="D966668" t="s">
        <v>156</v>
      </c>
    </row>
    <row r="966669" spans="4:4">
      <c r="D966669" t="s">
        <v>156</v>
      </c>
    </row>
    <row r="966670" spans="4:4">
      <c r="D966670" t="s">
        <v>156</v>
      </c>
    </row>
    <row r="966671" spans="4:4">
      <c r="D966671" t="s">
        <v>156</v>
      </c>
    </row>
    <row r="966672" spans="4:4">
      <c r="D966672" t="s">
        <v>156</v>
      </c>
    </row>
    <row r="966673" spans="4:4">
      <c r="D966673" t="s">
        <v>156</v>
      </c>
    </row>
    <row r="966674" spans="4:4">
      <c r="D966674" t="s">
        <v>156</v>
      </c>
    </row>
    <row r="966675" spans="4:4">
      <c r="D966675" t="s">
        <v>156</v>
      </c>
    </row>
    <row r="966676" spans="4:4">
      <c r="D966676" t="s">
        <v>156</v>
      </c>
    </row>
    <row r="966677" spans="4:4">
      <c r="D966677" t="s">
        <v>156</v>
      </c>
    </row>
    <row r="966678" spans="4:4">
      <c r="D966678" t="s">
        <v>156</v>
      </c>
    </row>
    <row r="966679" spans="4:4">
      <c r="D966679" t="s">
        <v>156</v>
      </c>
    </row>
    <row r="966680" spans="4:4">
      <c r="D966680" t="s">
        <v>156</v>
      </c>
    </row>
    <row r="966681" spans="4:4">
      <c r="D966681" t="s">
        <v>156</v>
      </c>
    </row>
    <row r="966682" spans="4:4">
      <c r="D966682" t="s">
        <v>156</v>
      </c>
    </row>
    <row r="966683" spans="4:4">
      <c r="D966683" t="s">
        <v>156</v>
      </c>
    </row>
    <row r="966684" spans="4:4">
      <c r="D966684" t="s">
        <v>156</v>
      </c>
    </row>
    <row r="966685" spans="4:4">
      <c r="D966685" t="s">
        <v>156</v>
      </c>
    </row>
    <row r="966686" spans="4:4">
      <c r="D966686" t="s">
        <v>156</v>
      </c>
    </row>
    <row r="966687" spans="4:4">
      <c r="D966687" t="s">
        <v>156</v>
      </c>
    </row>
    <row r="966688" spans="4:4">
      <c r="D966688" t="s">
        <v>156</v>
      </c>
    </row>
    <row r="966689" spans="4:4">
      <c r="D966689" t="s">
        <v>156</v>
      </c>
    </row>
    <row r="966690" spans="4:4">
      <c r="D966690" t="s">
        <v>156</v>
      </c>
    </row>
    <row r="966691" spans="4:4">
      <c r="D966691" t="s">
        <v>156</v>
      </c>
    </row>
    <row r="966692" spans="4:4">
      <c r="D966692" t="s">
        <v>156</v>
      </c>
    </row>
    <row r="966693" spans="4:4">
      <c r="D966693" t="s">
        <v>156</v>
      </c>
    </row>
    <row r="966694" spans="4:4">
      <c r="D966694" t="s">
        <v>156</v>
      </c>
    </row>
    <row r="966695" spans="4:4">
      <c r="D966695" t="s">
        <v>156</v>
      </c>
    </row>
    <row r="966696" spans="4:4">
      <c r="D966696" t="s">
        <v>156</v>
      </c>
    </row>
    <row r="966697" spans="4:4">
      <c r="D966697" t="s">
        <v>156</v>
      </c>
    </row>
    <row r="983040" spans="4:4">
      <c r="D983040" t="s">
        <v>155</v>
      </c>
    </row>
    <row r="983042" spans="4:4">
      <c r="D983042" t="s">
        <v>156</v>
      </c>
    </row>
    <row r="983043" spans="4:4">
      <c r="D983043" t="s">
        <v>156</v>
      </c>
    </row>
    <row r="983044" spans="4:4">
      <c r="D983044" t="s">
        <v>156</v>
      </c>
    </row>
    <row r="983045" spans="4:4">
      <c r="D983045" t="s">
        <v>156</v>
      </c>
    </row>
    <row r="983046" spans="4:4">
      <c r="D983046" t="s">
        <v>156</v>
      </c>
    </row>
    <row r="983047" spans="4:4">
      <c r="D983047" t="s">
        <v>156</v>
      </c>
    </row>
    <row r="983048" spans="4:4">
      <c r="D983048" t="s">
        <v>156</v>
      </c>
    </row>
    <row r="983049" spans="4:4">
      <c r="D983049" t="s">
        <v>156</v>
      </c>
    </row>
    <row r="983050" spans="4:4">
      <c r="D983050" t="s">
        <v>156</v>
      </c>
    </row>
    <row r="983051" spans="4:4">
      <c r="D983051" t="s">
        <v>156</v>
      </c>
    </row>
    <row r="983052" spans="4:4">
      <c r="D983052" t="s">
        <v>156</v>
      </c>
    </row>
    <row r="983053" spans="4:4">
      <c r="D983053" t="s">
        <v>156</v>
      </c>
    </row>
    <row r="983054" spans="4:4">
      <c r="D983054" t="s">
        <v>156</v>
      </c>
    </row>
    <row r="983055" spans="4:4">
      <c r="D983055" t="s">
        <v>156</v>
      </c>
    </row>
    <row r="983056" spans="4:4">
      <c r="D983056" t="s">
        <v>156</v>
      </c>
    </row>
    <row r="983057" spans="4:4">
      <c r="D983057" t="s">
        <v>156</v>
      </c>
    </row>
    <row r="983058" spans="4:4">
      <c r="D983058" t="s">
        <v>156</v>
      </c>
    </row>
    <row r="983059" spans="4:4">
      <c r="D983059" t="s">
        <v>156</v>
      </c>
    </row>
    <row r="983060" spans="4:4">
      <c r="D983060" t="s">
        <v>156</v>
      </c>
    </row>
    <row r="983061" spans="4:4">
      <c r="D983061" t="s">
        <v>156</v>
      </c>
    </row>
    <row r="983062" spans="4:4">
      <c r="D983062" t="s">
        <v>156</v>
      </c>
    </row>
    <row r="983063" spans="4:4">
      <c r="D983063" t="s">
        <v>156</v>
      </c>
    </row>
    <row r="983064" spans="4:4">
      <c r="D983064" t="s">
        <v>156</v>
      </c>
    </row>
    <row r="983065" spans="4:4">
      <c r="D983065" t="s">
        <v>156</v>
      </c>
    </row>
    <row r="983066" spans="4:4">
      <c r="D983066" t="s">
        <v>156</v>
      </c>
    </row>
    <row r="983067" spans="4:4">
      <c r="D983067" t="s">
        <v>156</v>
      </c>
    </row>
    <row r="983068" spans="4:4">
      <c r="D983068" t="s">
        <v>156</v>
      </c>
    </row>
    <row r="983069" spans="4:4">
      <c r="D983069" t="s">
        <v>156</v>
      </c>
    </row>
    <row r="983070" spans="4:4">
      <c r="D983070" t="s">
        <v>156</v>
      </c>
    </row>
    <row r="983071" spans="4:4">
      <c r="D983071" t="s">
        <v>156</v>
      </c>
    </row>
    <row r="983072" spans="4:4">
      <c r="D983072" t="s">
        <v>156</v>
      </c>
    </row>
    <row r="983073" spans="4:4">
      <c r="D983073" t="s">
        <v>156</v>
      </c>
    </row>
    <row r="983074" spans="4:4">
      <c r="D983074" t="s">
        <v>156</v>
      </c>
    </row>
    <row r="983075" spans="4:4">
      <c r="D983075" t="s">
        <v>156</v>
      </c>
    </row>
    <row r="983076" spans="4:4">
      <c r="D983076" t="s">
        <v>156</v>
      </c>
    </row>
    <row r="983077" spans="4:4">
      <c r="D983077" t="s">
        <v>156</v>
      </c>
    </row>
    <row r="983078" spans="4:4">
      <c r="D983078" t="s">
        <v>156</v>
      </c>
    </row>
    <row r="983079" spans="4:4">
      <c r="D983079" t="s">
        <v>156</v>
      </c>
    </row>
    <row r="983080" spans="4:4">
      <c r="D983080" t="s">
        <v>156</v>
      </c>
    </row>
    <row r="983081" spans="4:4">
      <c r="D983081" t="s">
        <v>156</v>
      </c>
    </row>
    <row r="999424" spans="4:4">
      <c r="D999424" t="s">
        <v>155</v>
      </c>
    </row>
    <row r="999426" spans="4:4">
      <c r="D999426" t="s">
        <v>156</v>
      </c>
    </row>
    <row r="999427" spans="4:4">
      <c r="D999427" t="s">
        <v>156</v>
      </c>
    </row>
    <row r="999428" spans="4:4">
      <c r="D999428" t="s">
        <v>156</v>
      </c>
    </row>
    <row r="999429" spans="4:4">
      <c r="D999429" t="s">
        <v>156</v>
      </c>
    </row>
    <row r="999430" spans="4:4">
      <c r="D999430" t="s">
        <v>156</v>
      </c>
    </row>
    <row r="999431" spans="4:4">
      <c r="D999431" t="s">
        <v>156</v>
      </c>
    </row>
    <row r="999432" spans="4:4">
      <c r="D999432" t="s">
        <v>156</v>
      </c>
    </row>
    <row r="999433" spans="4:4">
      <c r="D999433" t="s">
        <v>156</v>
      </c>
    </row>
    <row r="999434" spans="4:4">
      <c r="D999434" t="s">
        <v>156</v>
      </c>
    </row>
    <row r="999435" spans="4:4">
      <c r="D999435" t="s">
        <v>156</v>
      </c>
    </row>
    <row r="999436" spans="4:4">
      <c r="D999436" t="s">
        <v>156</v>
      </c>
    </row>
    <row r="999437" spans="4:4">
      <c r="D999437" t="s">
        <v>156</v>
      </c>
    </row>
    <row r="999438" spans="4:4">
      <c r="D999438" t="s">
        <v>156</v>
      </c>
    </row>
    <row r="999439" spans="4:4">
      <c r="D999439" t="s">
        <v>156</v>
      </c>
    </row>
    <row r="999440" spans="4:4">
      <c r="D999440" t="s">
        <v>156</v>
      </c>
    </row>
    <row r="999441" spans="4:4">
      <c r="D999441" t="s">
        <v>156</v>
      </c>
    </row>
    <row r="999442" spans="4:4">
      <c r="D999442" t="s">
        <v>156</v>
      </c>
    </row>
    <row r="999443" spans="4:4">
      <c r="D999443" t="s">
        <v>156</v>
      </c>
    </row>
    <row r="999444" spans="4:4">
      <c r="D999444" t="s">
        <v>156</v>
      </c>
    </row>
    <row r="999445" spans="4:4">
      <c r="D999445" t="s">
        <v>156</v>
      </c>
    </row>
    <row r="999446" spans="4:4">
      <c r="D999446" t="s">
        <v>156</v>
      </c>
    </row>
    <row r="999447" spans="4:4">
      <c r="D999447" t="s">
        <v>156</v>
      </c>
    </row>
    <row r="999448" spans="4:4">
      <c r="D999448" t="s">
        <v>156</v>
      </c>
    </row>
    <row r="999449" spans="4:4">
      <c r="D999449" t="s">
        <v>156</v>
      </c>
    </row>
    <row r="999450" spans="4:4">
      <c r="D999450" t="s">
        <v>156</v>
      </c>
    </row>
    <row r="999451" spans="4:4">
      <c r="D999451" t="s">
        <v>156</v>
      </c>
    </row>
    <row r="999452" spans="4:4">
      <c r="D999452" t="s">
        <v>156</v>
      </c>
    </row>
    <row r="999453" spans="4:4">
      <c r="D999453" t="s">
        <v>156</v>
      </c>
    </row>
    <row r="999454" spans="4:4">
      <c r="D999454" t="s">
        <v>156</v>
      </c>
    </row>
    <row r="999455" spans="4:4">
      <c r="D999455" t="s">
        <v>156</v>
      </c>
    </row>
    <row r="999456" spans="4:4">
      <c r="D999456" t="s">
        <v>156</v>
      </c>
    </row>
    <row r="999457" spans="4:4">
      <c r="D999457" t="s">
        <v>156</v>
      </c>
    </row>
    <row r="999458" spans="4:4">
      <c r="D999458" t="s">
        <v>156</v>
      </c>
    </row>
    <row r="999459" spans="4:4">
      <c r="D999459" t="s">
        <v>156</v>
      </c>
    </row>
    <row r="999460" spans="4:4">
      <c r="D999460" t="s">
        <v>156</v>
      </c>
    </row>
    <row r="999461" spans="4:4">
      <c r="D999461" t="s">
        <v>156</v>
      </c>
    </row>
    <row r="999462" spans="4:4">
      <c r="D999462" t="s">
        <v>156</v>
      </c>
    </row>
    <row r="999463" spans="4:4">
      <c r="D999463" t="s">
        <v>156</v>
      </c>
    </row>
    <row r="999464" spans="4:4">
      <c r="D999464" t="s">
        <v>156</v>
      </c>
    </row>
    <row r="999465" spans="4:4">
      <c r="D999465" t="s">
        <v>156</v>
      </c>
    </row>
    <row r="1015808" spans="4:4">
      <c r="D1015808" t="s">
        <v>155</v>
      </c>
    </row>
    <row r="1015810" spans="4:4">
      <c r="D1015810" t="s">
        <v>156</v>
      </c>
    </row>
    <row r="1015811" spans="4:4">
      <c r="D1015811" t="s">
        <v>156</v>
      </c>
    </row>
    <row r="1015812" spans="4:4">
      <c r="D1015812" t="s">
        <v>156</v>
      </c>
    </row>
    <row r="1015813" spans="4:4">
      <c r="D1015813" t="s">
        <v>156</v>
      </c>
    </row>
    <row r="1015814" spans="4:4">
      <c r="D1015814" t="s">
        <v>156</v>
      </c>
    </row>
    <row r="1015815" spans="4:4">
      <c r="D1015815" t="s">
        <v>156</v>
      </c>
    </row>
    <row r="1015816" spans="4:4">
      <c r="D1015816" t="s">
        <v>156</v>
      </c>
    </row>
    <row r="1015817" spans="4:4">
      <c r="D1015817" t="s">
        <v>156</v>
      </c>
    </row>
    <row r="1015818" spans="4:4">
      <c r="D1015818" t="s">
        <v>156</v>
      </c>
    </row>
    <row r="1015819" spans="4:4">
      <c r="D1015819" t="s">
        <v>156</v>
      </c>
    </row>
    <row r="1015820" spans="4:4">
      <c r="D1015820" t="s">
        <v>156</v>
      </c>
    </row>
    <row r="1015821" spans="4:4">
      <c r="D1015821" t="s">
        <v>156</v>
      </c>
    </row>
    <row r="1015822" spans="4:4">
      <c r="D1015822" t="s">
        <v>156</v>
      </c>
    </row>
    <row r="1015823" spans="4:4">
      <c r="D1015823" t="s">
        <v>156</v>
      </c>
    </row>
    <row r="1015824" spans="4:4">
      <c r="D1015824" t="s">
        <v>156</v>
      </c>
    </row>
    <row r="1015825" spans="4:4">
      <c r="D1015825" t="s">
        <v>156</v>
      </c>
    </row>
    <row r="1015826" spans="4:4">
      <c r="D1015826" t="s">
        <v>156</v>
      </c>
    </row>
    <row r="1015827" spans="4:4">
      <c r="D1015827" t="s">
        <v>156</v>
      </c>
    </row>
    <row r="1015828" spans="4:4">
      <c r="D1015828" t="s">
        <v>156</v>
      </c>
    </row>
    <row r="1015829" spans="4:4">
      <c r="D1015829" t="s">
        <v>156</v>
      </c>
    </row>
    <row r="1015830" spans="4:4">
      <c r="D1015830" t="s">
        <v>156</v>
      </c>
    </row>
    <row r="1015831" spans="4:4">
      <c r="D1015831" t="s">
        <v>156</v>
      </c>
    </row>
    <row r="1015832" spans="4:4">
      <c r="D1015832" t="s">
        <v>156</v>
      </c>
    </row>
    <row r="1015833" spans="4:4">
      <c r="D1015833" t="s">
        <v>156</v>
      </c>
    </row>
    <row r="1015834" spans="4:4">
      <c r="D1015834" t="s">
        <v>156</v>
      </c>
    </row>
    <row r="1015835" spans="4:4">
      <c r="D1015835" t="s">
        <v>156</v>
      </c>
    </row>
    <row r="1015836" spans="4:4">
      <c r="D1015836" t="s">
        <v>156</v>
      </c>
    </row>
    <row r="1015837" spans="4:4">
      <c r="D1015837" t="s">
        <v>156</v>
      </c>
    </row>
    <row r="1015838" spans="4:4">
      <c r="D1015838" t="s">
        <v>156</v>
      </c>
    </row>
    <row r="1015839" spans="4:4">
      <c r="D1015839" t="s">
        <v>156</v>
      </c>
    </row>
    <row r="1015840" spans="4:4">
      <c r="D1015840" t="s">
        <v>156</v>
      </c>
    </row>
    <row r="1015841" spans="4:4">
      <c r="D1015841" t="s">
        <v>156</v>
      </c>
    </row>
    <row r="1015842" spans="4:4">
      <c r="D1015842" t="s">
        <v>156</v>
      </c>
    </row>
    <row r="1015843" spans="4:4">
      <c r="D1015843" t="s">
        <v>156</v>
      </c>
    </row>
    <row r="1015844" spans="4:4">
      <c r="D1015844" t="s">
        <v>156</v>
      </c>
    </row>
    <row r="1015845" spans="4:4">
      <c r="D1015845" t="s">
        <v>156</v>
      </c>
    </row>
    <row r="1015846" spans="4:4">
      <c r="D1015846" t="s">
        <v>156</v>
      </c>
    </row>
    <row r="1015847" spans="4:4">
      <c r="D1015847" t="s">
        <v>156</v>
      </c>
    </row>
    <row r="1015848" spans="4:4">
      <c r="D1015848" t="s">
        <v>156</v>
      </c>
    </row>
    <row r="1015849" spans="4:4">
      <c r="D1015849" t="s">
        <v>156</v>
      </c>
    </row>
    <row r="1032192" spans="4:4">
      <c r="D1032192" t="s">
        <v>155</v>
      </c>
    </row>
    <row r="1032194" spans="4:4">
      <c r="D1032194" t="s">
        <v>156</v>
      </c>
    </row>
    <row r="1032195" spans="4:4">
      <c r="D1032195" t="s">
        <v>156</v>
      </c>
    </row>
    <row r="1032196" spans="4:4">
      <c r="D1032196" t="s">
        <v>156</v>
      </c>
    </row>
    <row r="1032197" spans="4:4">
      <c r="D1032197" t="s">
        <v>156</v>
      </c>
    </row>
    <row r="1032198" spans="4:4">
      <c r="D1032198" t="s">
        <v>156</v>
      </c>
    </row>
    <row r="1032199" spans="4:4">
      <c r="D1032199" t="s">
        <v>156</v>
      </c>
    </row>
    <row r="1032200" spans="4:4">
      <c r="D1032200" t="s">
        <v>156</v>
      </c>
    </row>
    <row r="1032201" spans="4:4">
      <c r="D1032201" t="s">
        <v>156</v>
      </c>
    </row>
    <row r="1032202" spans="4:4">
      <c r="D1032202" t="s">
        <v>156</v>
      </c>
    </row>
    <row r="1032203" spans="4:4">
      <c r="D1032203" t="s">
        <v>156</v>
      </c>
    </row>
    <row r="1032204" spans="4:4">
      <c r="D1032204" t="s">
        <v>156</v>
      </c>
    </row>
    <row r="1032205" spans="4:4">
      <c r="D1032205" t="s">
        <v>156</v>
      </c>
    </row>
    <row r="1032206" spans="4:4">
      <c r="D1032206" t="s">
        <v>156</v>
      </c>
    </row>
    <row r="1032207" spans="4:4">
      <c r="D1032207" t="s">
        <v>156</v>
      </c>
    </row>
    <row r="1032208" spans="4:4">
      <c r="D1032208" t="s">
        <v>156</v>
      </c>
    </row>
    <row r="1032209" spans="4:4">
      <c r="D1032209" t="s">
        <v>156</v>
      </c>
    </row>
    <row r="1032210" spans="4:4">
      <c r="D1032210" t="s">
        <v>156</v>
      </c>
    </row>
    <row r="1032211" spans="4:4">
      <c r="D1032211" t="s">
        <v>156</v>
      </c>
    </row>
    <row r="1032212" spans="4:4">
      <c r="D1032212" t="s">
        <v>156</v>
      </c>
    </row>
    <row r="1032213" spans="4:4">
      <c r="D1032213" t="s">
        <v>156</v>
      </c>
    </row>
    <row r="1032214" spans="4:4">
      <c r="D1032214" t="s">
        <v>156</v>
      </c>
    </row>
    <row r="1032215" spans="4:4">
      <c r="D1032215" t="s">
        <v>156</v>
      </c>
    </row>
    <row r="1032216" spans="4:4">
      <c r="D1032216" t="s">
        <v>156</v>
      </c>
    </row>
    <row r="1032217" spans="4:4">
      <c r="D1032217" t="s">
        <v>156</v>
      </c>
    </row>
    <row r="1032218" spans="4:4">
      <c r="D1032218" t="s">
        <v>156</v>
      </c>
    </row>
    <row r="1032219" spans="4:4">
      <c r="D1032219" t="s">
        <v>156</v>
      </c>
    </row>
    <row r="1032220" spans="4:4">
      <c r="D1032220" t="s">
        <v>156</v>
      </c>
    </row>
    <row r="1032221" spans="4:4">
      <c r="D1032221" t="s">
        <v>156</v>
      </c>
    </row>
    <row r="1032222" spans="4:4">
      <c r="D1032222" t="s">
        <v>156</v>
      </c>
    </row>
    <row r="1032223" spans="4:4">
      <c r="D1032223" t="s">
        <v>156</v>
      </c>
    </row>
    <row r="1032224" spans="4:4">
      <c r="D1032224" t="s">
        <v>156</v>
      </c>
    </row>
    <row r="1032225" spans="4:4">
      <c r="D1032225" t="s">
        <v>156</v>
      </c>
    </row>
    <row r="1032226" spans="4:4">
      <c r="D1032226" t="s">
        <v>156</v>
      </c>
    </row>
    <row r="1032227" spans="4:4">
      <c r="D1032227" t="s">
        <v>156</v>
      </c>
    </row>
    <row r="1032228" spans="4:4">
      <c r="D1032228" t="s">
        <v>156</v>
      </c>
    </row>
    <row r="1032229" spans="4:4">
      <c r="D1032229" t="s">
        <v>156</v>
      </c>
    </row>
    <row r="1032230" spans="4:4">
      <c r="D1032230" t="s">
        <v>156</v>
      </c>
    </row>
    <row r="1032231" spans="4:4">
      <c r="D1032231" t="s">
        <v>156</v>
      </c>
    </row>
    <row r="1032232" spans="4:4">
      <c r="D1032232" t="s">
        <v>156</v>
      </c>
    </row>
    <row r="1032233" spans="4:4">
      <c r="D103223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2601-9F64-43CE-8DB0-B5A12F3BBCB5}">
  <dimension ref="A1:I136"/>
  <sheetViews>
    <sheetView tabSelected="1" workbookViewId="0">
      <selection activeCell="F8" sqref="F8"/>
    </sheetView>
  </sheetViews>
  <sheetFormatPr defaultRowHeight="14.5"/>
  <cols>
    <col min="1" max="1" width="12" bestFit="1" customWidth="1"/>
    <col min="2" max="2" width="19.81640625" bestFit="1" customWidth="1"/>
    <col min="3" max="3" width="10.26953125" bestFit="1" customWidth="1"/>
    <col min="4" max="4" width="10.90625" bestFit="1" customWidth="1"/>
    <col min="5" max="5" width="11.7265625" bestFit="1" customWidth="1"/>
    <col min="6" max="6" width="17.1796875" bestFit="1" customWidth="1"/>
    <col min="7" max="7" width="14.81640625" bestFit="1" customWidth="1"/>
    <col min="8" max="9" width="15.54296875" bestFit="1" customWidth="1"/>
  </cols>
  <sheetData>
    <row r="1" spans="1:9">
      <c r="A1" t="s">
        <v>240</v>
      </c>
      <c r="B1" t="s">
        <v>248</v>
      </c>
      <c r="C1" t="s">
        <v>242</v>
      </c>
      <c r="D1" t="s">
        <v>243</v>
      </c>
      <c r="E1" t="s">
        <v>244</v>
      </c>
      <c r="F1" t="s">
        <v>241</v>
      </c>
      <c r="G1" s="1" t="s">
        <v>245</v>
      </c>
      <c r="H1" s="1" t="s">
        <v>246</v>
      </c>
      <c r="I1" s="1" t="s">
        <v>247</v>
      </c>
    </row>
    <row r="2" spans="1:9">
      <c r="A2">
        <v>213259</v>
      </c>
      <c r="B2" t="s">
        <v>0</v>
      </c>
      <c r="C2" t="str">
        <f>LEFT(B2,FIND("-",B2)-1)</f>
        <v>105</v>
      </c>
      <c r="D2" s="1" t="str">
        <f>IF(RIGHT(B2,3)="POR","porites",IF(RIGHT(B2,3)="POC","pocillopora","NA"))</f>
        <v>porites</v>
      </c>
      <c r="E2" s="1" t="str">
        <f>IF(D2="porites","rus",IF(D2="pocillopora","meandrina","NA"))</f>
        <v>rus</v>
      </c>
      <c r="F2" s="2" t="str">
        <f>RIGHT(B2,LEN(B2)-SEARCH("-",B2))</f>
        <v>TTC01F80POR</v>
      </c>
      <c r="G2" t="str">
        <f>IF(LEFT(F2,1)="T","Tiahura",IF(LEFT(F2,1)="O","Opunohu",NA))</f>
        <v>Tiahura</v>
      </c>
      <c r="H2" t="str">
        <f>IF(MID(F2,2,1)="T","Out Transplant",IF(MID(F2,2,1)="B","Back Transplant",IF(MID(F2,2,1)="G","Genotype","NA")))</f>
        <v>Out Transplant</v>
      </c>
      <c r="I2" t="s">
        <v>252</v>
      </c>
    </row>
    <row r="3" spans="1:9">
      <c r="A3">
        <v>213374</v>
      </c>
      <c r="B3" t="s">
        <v>1</v>
      </c>
      <c r="C3" t="str">
        <f t="shared" ref="C2:C66" si="0">LEFT(B3,FIND("-",B3)-1)</f>
        <v>88</v>
      </c>
      <c r="D3" s="1" t="str">
        <f t="shared" ref="D3:D66" si="1">IF(RIGHT(B3,3)="POR","porites",IF(RIGHT(B3,3)="POC","pocillopora","NA"))</f>
        <v>porites</v>
      </c>
      <c r="E3" s="1" t="str">
        <f t="shared" ref="E3:E66" si="2">IF(D3="porites","rus",IF(D3="pocillopora","meandrina","NA"))</f>
        <v>rus</v>
      </c>
      <c r="F3" s="2" t="str">
        <f t="shared" ref="F3:F66" si="3">RIGHT(B3,LEN(B3)-SEARCH("-",B3))</f>
        <v>TTC04F60POR</v>
      </c>
      <c r="G3" t="str">
        <f>IF(LEFT(F3,1)="T","Tiahura",IF(LEFT(F3,1)="O","Opunohu",NA))</f>
        <v>Tiahura</v>
      </c>
      <c r="H3" t="str">
        <f t="shared" ref="H3:H66" si="4">IF(MID(F3,2,1)="T","Out Transplant",IF(MID(F3,2,1)="B","Back Transplant",IF(MID(F3,2,1)="G","Genotype","NA")))</f>
        <v>Out Transplant</v>
      </c>
      <c r="I3" t="s">
        <v>253</v>
      </c>
    </row>
    <row r="4" spans="1:9">
      <c r="A4">
        <v>213302</v>
      </c>
      <c r="B4" t="s">
        <v>118</v>
      </c>
      <c r="C4" t="str">
        <f t="shared" si="0"/>
        <v>21</v>
      </c>
      <c r="D4" s="1" t="str">
        <f t="shared" si="1"/>
        <v>porites</v>
      </c>
      <c r="E4" s="1" t="str">
        <f t="shared" si="2"/>
        <v>rus</v>
      </c>
      <c r="F4" s="2" t="str">
        <f t="shared" si="3"/>
        <v>TGC01F00POR</v>
      </c>
      <c r="G4" t="str">
        <f>IF(LEFT(F4,1)="T","Tiahura",IF(LEFT(F4,1)="O","Opunohu",NA))</f>
        <v>Tiahura</v>
      </c>
      <c r="H4" t="str">
        <f t="shared" si="4"/>
        <v>Genotype</v>
      </c>
      <c r="I4" t="s">
        <v>250</v>
      </c>
    </row>
    <row r="5" spans="1:9">
      <c r="A5">
        <v>213352</v>
      </c>
      <c r="B5" t="s">
        <v>2</v>
      </c>
      <c r="C5" t="str">
        <f t="shared" si="0"/>
        <v>68</v>
      </c>
      <c r="D5" s="1" t="str">
        <f t="shared" si="1"/>
        <v>pocillopora</v>
      </c>
      <c r="E5" s="1" t="str">
        <f t="shared" si="2"/>
        <v>meandrina</v>
      </c>
      <c r="F5" s="2" t="str">
        <f t="shared" si="3"/>
        <v>TTC04F40POC</v>
      </c>
      <c r="G5" t="str">
        <f>IF(LEFT(F5,1)="T","Tiahura",IF(LEFT(F5,1)="O","Opunohu",NA))</f>
        <v>Tiahura</v>
      </c>
      <c r="H5" t="str">
        <f t="shared" si="4"/>
        <v>Out Transplant</v>
      </c>
      <c r="I5" t="s">
        <v>263</v>
      </c>
    </row>
    <row r="6" spans="1:9">
      <c r="A6">
        <v>213262</v>
      </c>
      <c r="B6" t="s">
        <v>3</v>
      </c>
      <c r="C6" t="str">
        <f t="shared" si="0"/>
        <v>108</v>
      </c>
      <c r="D6" s="1" t="str">
        <f t="shared" si="1"/>
        <v>porites</v>
      </c>
      <c r="E6" s="1" t="str">
        <f t="shared" si="2"/>
        <v>rus</v>
      </c>
      <c r="F6" s="2" t="str">
        <f t="shared" si="3"/>
        <v>TTC04F80POR</v>
      </c>
      <c r="G6" t="str">
        <f>IF(LEFT(F6,1)="T","Tiahura",IF(LEFT(F6,1)="O","Opunohu",NA))</f>
        <v>Tiahura</v>
      </c>
      <c r="H6" t="str">
        <f t="shared" si="4"/>
        <v>Out Transplant</v>
      </c>
      <c r="I6" t="s">
        <v>252</v>
      </c>
    </row>
    <row r="7" spans="1:9">
      <c r="A7">
        <v>213355</v>
      </c>
      <c r="B7" t="s">
        <v>5</v>
      </c>
      <c r="C7" t="str">
        <f t="shared" si="0"/>
        <v>70</v>
      </c>
      <c r="D7" s="1" t="str">
        <f t="shared" si="1"/>
        <v>porites</v>
      </c>
      <c r="E7" s="1" t="str">
        <f t="shared" si="2"/>
        <v>rus</v>
      </c>
      <c r="F7" s="2" t="str">
        <f t="shared" si="3"/>
        <v>TTC05F40POR</v>
      </c>
      <c r="G7" t="str">
        <f>IF(LEFT(F7,1)="T","Tiahura",IF(LEFT(F7,1)="O","Opunohu",NA))</f>
        <v>Tiahura</v>
      </c>
      <c r="H7" t="str">
        <f t="shared" si="4"/>
        <v>Out Transplant</v>
      </c>
      <c r="I7" t="s">
        <v>263</v>
      </c>
    </row>
    <row r="8" spans="1:9">
      <c r="A8">
        <v>213332</v>
      </c>
      <c r="B8" t="s">
        <v>6</v>
      </c>
      <c r="C8" t="str">
        <f t="shared" si="0"/>
        <v>49</v>
      </c>
      <c r="D8" s="1" t="str">
        <f t="shared" si="1"/>
        <v>porites</v>
      </c>
      <c r="E8" s="1" t="str">
        <f t="shared" si="2"/>
        <v>rus</v>
      </c>
      <c r="F8" s="2" t="str">
        <f t="shared" si="3"/>
        <v>OTC04F12POR</v>
      </c>
      <c r="G8" t="str">
        <f>IF(LEFT(F8,1)="T","Tiahura",IF(LEFT(F8,1)="O","Opunohu",NA))</f>
        <v>Opunohu</v>
      </c>
      <c r="H8" t="str">
        <f t="shared" si="4"/>
        <v>Out Transplant</v>
      </c>
      <c r="I8" t="s">
        <v>251</v>
      </c>
    </row>
    <row r="9" spans="1:9">
      <c r="A9">
        <v>213309</v>
      </c>
      <c r="B9" t="s">
        <v>111</v>
      </c>
      <c r="C9" t="str">
        <f t="shared" si="0"/>
        <v>28</v>
      </c>
      <c r="D9" s="1" t="str">
        <f t="shared" si="1"/>
        <v>porites</v>
      </c>
      <c r="E9" s="1" t="str">
        <f t="shared" si="2"/>
        <v>rus</v>
      </c>
      <c r="F9" s="2" t="str">
        <f t="shared" si="3"/>
        <v>OGC03F00POR</v>
      </c>
      <c r="G9" t="str">
        <f>IF(LEFT(F9,1)="T","Tiahura",IF(LEFT(F9,1)="O","Opunohu",NA))</f>
        <v>Opunohu</v>
      </c>
      <c r="H9" t="str">
        <f t="shared" si="4"/>
        <v>Genotype</v>
      </c>
      <c r="I9" t="s">
        <v>250</v>
      </c>
    </row>
    <row r="10" spans="1:9">
      <c r="A10">
        <v>213305</v>
      </c>
      <c r="B10" t="s">
        <v>115</v>
      </c>
      <c r="C10" t="str">
        <f t="shared" si="0"/>
        <v>24</v>
      </c>
      <c r="D10" s="1" t="str">
        <f t="shared" si="1"/>
        <v>porites</v>
      </c>
      <c r="E10" s="1" t="str">
        <f t="shared" si="2"/>
        <v>rus</v>
      </c>
      <c r="F10" s="2" t="str">
        <f t="shared" si="3"/>
        <v>TGC04F00POR</v>
      </c>
      <c r="G10" t="str">
        <f>IF(LEFT(F10,1)="T","Tiahura",IF(LEFT(F10,1)="O","Opunohu",NA))</f>
        <v>Tiahura</v>
      </c>
      <c r="H10" t="str">
        <f t="shared" si="4"/>
        <v>Genotype</v>
      </c>
      <c r="I10" t="s">
        <v>250</v>
      </c>
    </row>
    <row r="11" spans="1:9">
      <c r="A11">
        <v>213327</v>
      </c>
      <c r="B11" t="s">
        <v>7</v>
      </c>
      <c r="C11" t="str">
        <f t="shared" si="0"/>
        <v>44</v>
      </c>
      <c r="D11" s="1" t="str">
        <f t="shared" si="1"/>
        <v>porites</v>
      </c>
      <c r="E11" s="1" t="str">
        <f t="shared" si="2"/>
        <v>rus</v>
      </c>
      <c r="F11" s="2" t="str">
        <f t="shared" si="3"/>
        <v>OBC04F09POR</v>
      </c>
      <c r="G11" t="str">
        <f>IF(LEFT(F11,1)="T","Tiahura",IF(LEFT(F11,1)="O","Opunohu",NA))</f>
        <v>Opunohu</v>
      </c>
      <c r="H11" t="str">
        <f t="shared" si="4"/>
        <v>Back Transplant</v>
      </c>
      <c r="I11" t="s">
        <v>251</v>
      </c>
    </row>
    <row r="12" spans="1:9">
      <c r="A12">
        <v>213276</v>
      </c>
      <c r="B12" t="s">
        <v>10</v>
      </c>
      <c r="C12" t="str">
        <f t="shared" si="0"/>
        <v>120</v>
      </c>
      <c r="D12" s="1" t="str">
        <f t="shared" si="1"/>
        <v>porites</v>
      </c>
      <c r="E12" s="1" t="str">
        <f t="shared" si="2"/>
        <v>rus</v>
      </c>
      <c r="F12" s="2" t="str">
        <f t="shared" si="3"/>
        <v>OBC02F80POR</v>
      </c>
      <c r="G12" t="str">
        <f>IF(LEFT(F12,1)="T","Tiahura",IF(LEFT(F12,1)="O","Opunohu",NA))</f>
        <v>Opunohu</v>
      </c>
      <c r="H12" t="str">
        <f t="shared" si="4"/>
        <v>Back Transplant</v>
      </c>
      <c r="I12" t="s">
        <v>252</v>
      </c>
    </row>
    <row r="13" spans="1:9">
      <c r="A13">
        <v>213310</v>
      </c>
      <c r="B13" t="s">
        <v>110</v>
      </c>
      <c r="C13" t="str">
        <f t="shared" si="0"/>
        <v>29</v>
      </c>
      <c r="D13" s="1" t="str">
        <f t="shared" si="1"/>
        <v>porites</v>
      </c>
      <c r="E13" s="1" t="str">
        <f t="shared" si="2"/>
        <v>rus</v>
      </c>
      <c r="F13" s="2" t="str">
        <f t="shared" si="3"/>
        <v>OGC04F00POR</v>
      </c>
      <c r="G13" t="str">
        <f>IF(LEFT(F13,1)="T","Tiahura",IF(LEFT(F13,1)="O","Opunohu",NA))</f>
        <v>Opunohu</v>
      </c>
      <c r="H13" t="str">
        <f t="shared" si="4"/>
        <v>Genotype</v>
      </c>
      <c r="I13" t="s">
        <v>250</v>
      </c>
    </row>
    <row r="14" spans="1:9">
      <c r="A14">
        <v>213321</v>
      </c>
      <c r="B14" t="s">
        <v>99</v>
      </c>
      <c r="C14" t="str">
        <f t="shared" si="0"/>
        <v>39</v>
      </c>
      <c r="D14" s="1" t="str">
        <f t="shared" si="1"/>
        <v>porites</v>
      </c>
      <c r="E14" s="1" t="str">
        <f t="shared" si="2"/>
        <v>rus</v>
      </c>
      <c r="F14" s="2" t="str">
        <f t="shared" si="3"/>
        <v>TTC04F02POR</v>
      </c>
      <c r="G14" t="str">
        <f>IF(LEFT(F14,1)="T","Tiahura",IF(LEFT(F14,1)="O","Opunohu",NA))</f>
        <v>Tiahura</v>
      </c>
      <c r="H14" t="str">
        <f t="shared" si="4"/>
        <v>Out Transplant</v>
      </c>
      <c r="I14" t="s">
        <v>251</v>
      </c>
    </row>
    <row r="15" spans="1:9">
      <c r="A15">
        <v>213326</v>
      </c>
      <c r="B15" t="s">
        <v>11</v>
      </c>
      <c r="C15" t="str">
        <f t="shared" si="0"/>
        <v>43</v>
      </c>
      <c r="D15" s="1" t="str">
        <f t="shared" si="1"/>
        <v>porites</v>
      </c>
      <c r="E15" s="1" t="str">
        <f t="shared" si="2"/>
        <v>rus</v>
      </c>
      <c r="F15" s="2" t="str">
        <f t="shared" si="3"/>
        <v>OBC03F09POR</v>
      </c>
      <c r="G15" t="str">
        <f>IF(LEFT(F15,1)="T","Tiahura",IF(LEFT(F15,1)="O","Opunohu",NA))</f>
        <v>Opunohu</v>
      </c>
      <c r="H15" t="str">
        <f t="shared" si="4"/>
        <v>Back Transplant</v>
      </c>
      <c r="I15" t="s">
        <v>251</v>
      </c>
    </row>
    <row r="16" spans="1:9">
      <c r="A16">
        <v>213368</v>
      </c>
      <c r="B16" t="s">
        <v>12</v>
      </c>
      <c r="C16" t="str">
        <f t="shared" si="0"/>
        <v>82</v>
      </c>
      <c r="D16" s="1" t="str">
        <f t="shared" si="1"/>
        <v>porites</v>
      </c>
      <c r="E16" s="1" t="str">
        <f t="shared" si="2"/>
        <v>rus</v>
      </c>
      <c r="F16" s="2" t="str">
        <f t="shared" si="3"/>
        <v>OBC02F60POR</v>
      </c>
      <c r="G16" t="str">
        <f>IF(LEFT(F16,1)="T","Tiahura",IF(LEFT(F16,1)="O","Opunohu",NA))</f>
        <v>Opunohu</v>
      </c>
      <c r="H16" t="str">
        <f t="shared" si="4"/>
        <v>Back Transplant</v>
      </c>
      <c r="I16" t="s">
        <v>253</v>
      </c>
    </row>
    <row r="17" spans="1:9">
      <c r="A17">
        <v>213372</v>
      </c>
      <c r="B17" t="s">
        <v>13</v>
      </c>
      <c r="C17" t="str">
        <f t="shared" si="0"/>
        <v>86</v>
      </c>
      <c r="D17" s="1" t="str">
        <f t="shared" si="1"/>
        <v>porites</v>
      </c>
      <c r="E17" s="1" t="str">
        <f t="shared" si="2"/>
        <v>rus</v>
      </c>
      <c r="F17" s="2" t="str">
        <f t="shared" si="3"/>
        <v>TTC01F60POR</v>
      </c>
      <c r="G17" t="str">
        <f>IF(LEFT(F17,1)="T","Tiahura",IF(LEFT(F17,1)="O","Opunohu",NA))</f>
        <v>Tiahura</v>
      </c>
      <c r="H17" t="str">
        <f t="shared" si="4"/>
        <v>Out Transplant</v>
      </c>
      <c r="I17" t="s">
        <v>253</v>
      </c>
    </row>
    <row r="18" spans="1:9">
      <c r="A18">
        <v>213296</v>
      </c>
      <c r="B18" t="s">
        <v>265</v>
      </c>
      <c r="C18" t="str">
        <f t="shared" si="0"/>
        <v>160</v>
      </c>
      <c r="D18" s="1" t="s">
        <v>123</v>
      </c>
      <c r="E18" s="1" t="str">
        <f t="shared" si="2"/>
        <v>rus</v>
      </c>
      <c r="F18" s="2" t="str">
        <f t="shared" si="3"/>
        <v>OBC03F00POR_2_2</v>
      </c>
      <c r="G18" t="str">
        <f>IF(LEFT(F18,1)="T","Tiahura",IF(LEFT(F18,1)="O","Opunohu",NA))</f>
        <v>Opunohu</v>
      </c>
      <c r="H18" t="str">
        <f t="shared" si="4"/>
        <v>Back Transplant</v>
      </c>
      <c r="I18" t="s">
        <v>264</v>
      </c>
    </row>
    <row r="19" spans="1:9">
      <c r="A19">
        <v>213370</v>
      </c>
      <c r="B19" t="s">
        <v>15</v>
      </c>
      <c r="C19" t="str">
        <f t="shared" si="0"/>
        <v>84</v>
      </c>
      <c r="D19" s="1" t="str">
        <f t="shared" si="1"/>
        <v>porites</v>
      </c>
      <c r="E19" s="1" t="str">
        <f t="shared" si="2"/>
        <v>rus</v>
      </c>
      <c r="F19" s="2" t="str">
        <f t="shared" si="3"/>
        <v>OBC04F60POR</v>
      </c>
      <c r="G19" t="str">
        <f>IF(LEFT(F19,1)="T","Tiahura",IF(LEFT(F19,1)="O","Opunohu",NA))</f>
        <v>Opunohu</v>
      </c>
      <c r="H19" t="str">
        <f t="shared" si="4"/>
        <v>Back Transplant</v>
      </c>
      <c r="I19" t="s">
        <v>253</v>
      </c>
    </row>
    <row r="20" spans="1:9">
      <c r="A20">
        <v>213312</v>
      </c>
      <c r="B20" t="s">
        <v>108</v>
      </c>
      <c r="C20" t="str">
        <f t="shared" si="0"/>
        <v>30</v>
      </c>
      <c r="D20" s="1" t="str">
        <f t="shared" si="1"/>
        <v>porites</v>
      </c>
      <c r="E20" s="1" t="str">
        <f t="shared" si="2"/>
        <v>rus</v>
      </c>
      <c r="F20" s="2" t="str">
        <f t="shared" si="3"/>
        <v>OGC05F00POR</v>
      </c>
      <c r="G20" t="str">
        <f>IF(LEFT(F20,1)="T","Tiahura",IF(LEFT(F20,1)="O","Opunohu",NA))</f>
        <v>Opunohu</v>
      </c>
      <c r="H20" t="str">
        <f t="shared" si="4"/>
        <v>Genotype</v>
      </c>
      <c r="I20" t="s">
        <v>250</v>
      </c>
    </row>
    <row r="21" spans="1:9">
      <c r="A21">
        <v>213308</v>
      </c>
      <c r="B21" t="s">
        <v>112</v>
      </c>
      <c r="C21" t="str">
        <f t="shared" si="0"/>
        <v>27</v>
      </c>
      <c r="D21" s="1" t="str">
        <f t="shared" si="1"/>
        <v>porites</v>
      </c>
      <c r="E21" s="1" t="str">
        <f t="shared" si="2"/>
        <v>rus</v>
      </c>
      <c r="F21" s="2" t="str">
        <f t="shared" si="3"/>
        <v>OGC02F00POR</v>
      </c>
      <c r="G21" t="str">
        <f>IF(LEFT(F21,1)="T","Tiahura",IF(LEFT(F21,1)="O","Opunohu",NA))</f>
        <v>Opunohu</v>
      </c>
      <c r="H21" t="str">
        <f t="shared" si="4"/>
        <v>Genotype</v>
      </c>
      <c r="I21" t="s">
        <v>250</v>
      </c>
    </row>
    <row r="22" spans="1:9">
      <c r="A22">
        <v>213325</v>
      </c>
      <c r="B22" t="s">
        <v>18</v>
      </c>
      <c r="C22" t="str">
        <f t="shared" si="0"/>
        <v>42</v>
      </c>
      <c r="D22" s="1" t="str">
        <f t="shared" si="1"/>
        <v>porites</v>
      </c>
      <c r="E22" s="1" t="str">
        <f t="shared" si="2"/>
        <v>rus</v>
      </c>
      <c r="F22" s="2" t="str">
        <f t="shared" si="3"/>
        <v>OBC02F11POR</v>
      </c>
      <c r="G22" t="str">
        <f>IF(LEFT(F22,1)="T","Tiahura",IF(LEFT(F22,1)="O","Opunohu",NA))</f>
        <v>Opunohu</v>
      </c>
      <c r="H22" t="str">
        <f t="shared" si="4"/>
        <v>Back Transplant</v>
      </c>
      <c r="I22" t="s">
        <v>251</v>
      </c>
    </row>
    <row r="23" spans="1:9">
      <c r="A23">
        <v>213277</v>
      </c>
      <c r="B23" t="s">
        <v>20</v>
      </c>
      <c r="C23" t="str">
        <f t="shared" si="0"/>
        <v>121</v>
      </c>
      <c r="D23" s="1" t="str">
        <f t="shared" si="1"/>
        <v>porites</v>
      </c>
      <c r="E23" s="1" t="str">
        <f t="shared" si="2"/>
        <v>rus</v>
      </c>
      <c r="F23" s="2" t="str">
        <f t="shared" si="3"/>
        <v>OBC03F80POR</v>
      </c>
      <c r="G23" t="str">
        <f>IF(LEFT(F23,1)="T","Tiahura",IF(LEFT(F23,1)="O","Opunohu",NA))</f>
        <v>Opunohu</v>
      </c>
      <c r="H23" t="str">
        <f t="shared" si="4"/>
        <v>Back Transplant</v>
      </c>
      <c r="I23" t="s">
        <v>252</v>
      </c>
    </row>
    <row r="24" spans="1:9">
      <c r="A24">
        <v>213369</v>
      </c>
      <c r="B24" t="s">
        <v>23</v>
      </c>
      <c r="C24" t="str">
        <f t="shared" si="0"/>
        <v>83</v>
      </c>
      <c r="D24" s="1" t="str">
        <f t="shared" si="1"/>
        <v>porites</v>
      </c>
      <c r="E24" s="1" t="str">
        <f t="shared" si="2"/>
        <v>rus</v>
      </c>
      <c r="F24" s="2" t="str">
        <f t="shared" si="3"/>
        <v>OBC03F60POR</v>
      </c>
      <c r="G24" t="str">
        <f>IF(LEFT(F24,1)="T","Tiahura",IF(LEFT(F24,1)="O","Opunohu",NA))</f>
        <v>Opunohu</v>
      </c>
      <c r="H24" t="str">
        <f t="shared" si="4"/>
        <v>Back Transplant</v>
      </c>
      <c r="I24" t="s">
        <v>253</v>
      </c>
    </row>
    <row r="25" spans="1:9">
      <c r="A25">
        <v>213328</v>
      </c>
      <c r="B25" t="s">
        <v>24</v>
      </c>
      <c r="C25" t="str">
        <f t="shared" si="0"/>
        <v>45</v>
      </c>
      <c r="D25" s="1" t="str">
        <f t="shared" si="1"/>
        <v>porites</v>
      </c>
      <c r="E25" s="1" t="str">
        <f t="shared" si="2"/>
        <v>rus</v>
      </c>
      <c r="F25" s="2" t="str">
        <f t="shared" si="3"/>
        <v>OBC05F03POR</v>
      </c>
      <c r="G25" t="str">
        <f>IF(LEFT(F25,1)="T","Tiahura",IF(LEFT(F25,1)="O","Opunohu",NA))</f>
        <v>Opunohu</v>
      </c>
      <c r="H25" t="str">
        <f t="shared" si="4"/>
        <v>Back Transplant</v>
      </c>
      <c r="I25" t="s">
        <v>251</v>
      </c>
    </row>
    <row r="26" spans="1:9">
      <c r="A26">
        <v>213331</v>
      </c>
      <c r="B26" t="s">
        <v>28</v>
      </c>
      <c r="C26" t="str">
        <f t="shared" si="0"/>
        <v>48</v>
      </c>
      <c r="D26" s="1" t="str">
        <f t="shared" si="1"/>
        <v>porites</v>
      </c>
      <c r="E26" s="1" t="str">
        <f t="shared" si="2"/>
        <v>rus</v>
      </c>
      <c r="F26" s="2" t="str">
        <f t="shared" si="3"/>
        <v>OTC03F12POR</v>
      </c>
      <c r="G26" t="str">
        <f>IF(LEFT(F26,1)="T","Tiahura",IF(LEFT(F26,1)="O","Opunohu",NA))</f>
        <v>Opunohu</v>
      </c>
      <c r="H26" t="str">
        <f t="shared" si="4"/>
        <v>Out Transplant</v>
      </c>
      <c r="I26" t="s">
        <v>251</v>
      </c>
    </row>
    <row r="27" spans="1:9">
      <c r="A27">
        <v>213324</v>
      </c>
      <c r="B27" t="s">
        <v>29</v>
      </c>
      <c r="C27" t="str">
        <f t="shared" si="0"/>
        <v>41</v>
      </c>
      <c r="D27" s="1" t="str">
        <f t="shared" si="1"/>
        <v>porites</v>
      </c>
      <c r="E27" s="1" t="str">
        <f t="shared" si="2"/>
        <v>rus</v>
      </c>
      <c r="F27" s="2" t="str">
        <f t="shared" si="3"/>
        <v>OBC01F11POR</v>
      </c>
      <c r="G27" t="str">
        <f>IF(LEFT(F27,1)="T","Tiahura",IF(LEFT(F27,1)="O","Opunohu",NA))</f>
        <v>Opunohu</v>
      </c>
      <c r="H27" t="str">
        <f t="shared" si="4"/>
        <v>Back Transplant</v>
      </c>
      <c r="I27" t="s">
        <v>251</v>
      </c>
    </row>
    <row r="28" spans="1:9">
      <c r="A28">
        <v>213357</v>
      </c>
      <c r="B28" t="s">
        <v>30</v>
      </c>
      <c r="C28" t="str">
        <f t="shared" si="0"/>
        <v>72</v>
      </c>
      <c r="D28" s="1" t="str">
        <f t="shared" si="1"/>
        <v>porites</v>
      </c>
      <c r="E28" s="1" t="str">
        <f t="shared" si="2"/>
        <v>rus</v>
      </c>
      <c r="F28" s="2" t="str">
        <f t="shared" si="3"/>
        <v>TTC03F40POR</v>
      </c>
      <c r="G28" t="str">
        <f>IF(LEFT(F28,1)="T","Tiahura",IF(LEFT(F28,1)="O","Opunohu",NA))</f>
        <v>Tiahura</v>
      </c>
      <c r="H28" t="str">
        <f t="shared" si="4"/>
        <v>Out Transplant</v>
      </c>
      <c r="I28" t="s">
        <v>263</v>
      </c>
    </row>
    <row r="29" spans="1:9">
      <c r="A29">
        <v>213279</v>
      </c>
      <c r="B29" t="s">
        <v>31</v>
      </c>
      <c r="C29" t="str">
        <f t="shared" si="0"/>
        <v>123</v>
      </c>
      <c r="D29" s="1" t="str">
        <f t="shared" si="1"/>
        <v>porites</v>
      </c>
      <c r="E29" s="1" t="str">
        <f t="shared" si="2"/>
        <v>rus</v>
      </c>
      <c r="F29" s="2" t="str">
        <f t="shared" si="3"/>
        <v>OBC05F80POR</v>
      </c>
      <c r="G29" t="str">
        <f>IF(LEFT(F29,1)="T","Tiahura",IF(LEFT(F29,1)="O","Opunohu",NA))</f>
        <v>Opunohu</v>
      </c>
      <c r="H29" t="str">
        <f t="shared" si="4"/>
        <v>Back Transplant</v>
      </c>
      <c r="I29" t="s">
        <v>252</v>
      </c>
    </row>
    <row r="30" spans="1:9">
      <c r="A30">
        <v>213329</v>
      </c>
      <c r="B30" t="s">
        <v>32</v>
      </c>
      <c r="C30" t="str">
        <f t="shared" si="0"/>
        <v>46</v>
      </c>
      <c r="D30" s="1" t="str">
        <f t="shared" si="1"/>
        <v>porites</v>
      </c>
      <c r="E30" s="1" t="str">
        <f t="shared" si="2"/>
        <v>rus</v>
      </c>
      <c r="F30" s="2" t="str">
        <f t="shared" si="3"/>
        <v>OTC01F12POR</v>
      </c>
      <c r="G30" t="str">
        <f>IF(LEFT(F30,1)="T","Tiahura",IF(LEFT(F30,1)="O","Opunohu",NA))</f>
        <v>Opunohu</v>
      </c>
      <c r="H30" t="str">
        <f t="shared" si="4"/>
        <v>Out Transplant</v>
      </c>
      <c r="I30" t="s">
        <v>251</v>
      </c>
    </row>
    <row r="31" spans="1:9">
      <c r="A31">
        <v>213348</v>
      </c>
      <c r="B31" t="s">
        <v>50</v>
      </c>
      <c r="C31" t="str">
        <f t="shared" si="0"/>
        <v>64</v>
      </c>
      <c r="D31" s="1" t="str">
        <f t="shared" si="1"/>
        <v>pocillopora</v>
      </c>
      <c r="E31" s="1" t="str">
        <f t="shared" si="2"/>
        <v>meandrina</v>
      </c>
      <c r="F31" s="2" t="str">
        <f t="shared" si="3"/>
        <v>TBC04F41POC</v>
      </c>
      <c r="G31" t="str">
        <f>IF(LEFT(F31,1)="T","Tiahura",IF(LEFT(F31,1)="O","Opunohu",NA))</f>
        <v>Tiahura</v>
      </c>
      <c r="H31" t="str">
        <f t="shared" si="4"/>
        <v>Back Transplant</v>
      </c>
      <c r="I31" t="s">
        <v>263</v>
      </c>
    </row>
    <row r="32" spans="1:9">
      <c r="A32">
        <v>213358</v>
      </c>
      <c r="B32" t="s">
        <v>51</v>
      </c>
      <c r="C32" t="str">
        <f t="shared" si="0"/>
        <v>73</v>
      </c>
      <c r="D32" s="1" t="str">
        <f t="shared" si="1"/>
        <v>porites</v>
      </c>
      <c r="E32" s="1" t="str">
        <f t="shared" si="2"/>
        <v>rus</v>
      </c>
      <c r="F32" s="2" t="str">
        <f t="shared" si="3"/>
        <v>OBC02F40POR</v>
      </c>
      <c r="G32" t="str">
        <f>IF(LEFT(F32,1)="T","Tiahura",IF(LEFT(F32,1)="O","Opunohu",NA))</f>
        <v>Opunohu</v>
      </c>
      <c r="H32" t="str">
        <f t="shared" si="4"/>
        <v>Back Transplant</v>
      </c>
      <c r="I32" t="s">
        <v>263</v>
      </c>
    </row>
    <row r="33" spans="1:9">
      <c r="A33">
        <v>213347</v>
      </c>
      <c r="B33" t="s">
        <v>52</v>
      </c>
      <c r="C33" t="str">
        <f t="shared" si="0"/>
        <v>63</v>
      </c>
      <c r="D33" s="1" t="str">
        <f t="shared" si="1"/>
        <v>pocillopora</v>
      </c>
      <c r="E33" s="1" t="str">
        <f t="shared" si="2"/>
        <v>meandrina</v>
      </c>
      <c r="F33" s="2" t="str">
        <f t="shared" si="3"/>
        <v>TBC03F41POC</v>
      </c>
      <c r="G33" t="str">
        <f>IF(LEFT(F33,1)="T","Tiahura",IF(LEFT(F33,1)="O","Opunohu",NA))</f>
        <v>Tiahura</v>
      </c>
      <c r="H33" t="str">
        <f t="shared" si="4"/>
        <v>Back Transplant</v>
      </c>
      <c r="I33" t="s">
        <v>263</v>
      </c>
    </row>
    <row r="34" spans="1:9">
      <c r="A34">
        <v>213272</v>
      </c>
      <c r="B34" t="s">
        <v>53</v>
      </c>
      <c r="C34" t="str">
        <f t="shared" si="0"/>
        <v>117</v>
      </c>
      <c r="D34" s="1" t="str">
        <f t="shared" si="1"/>
        <v>pocillopora</v>
      </c>
      <c r="E34" s="1" t="str">
        <f t="shared" si="2"/>
        <v>meandrina</v>
      </c>
      <c r="F34" s="2" t="str">
        <f t="shared" si="3"/>
        <v>OBC03F80POC</v>
      </c>
      <c r="G34" t="str">
        <f>IF(LEFT(F34,1)="T","Tiahura",IF(LEFT(F34,1)="O","Opunohu",NA))</f>
        <v>Opunohu</v>
      </c>
      <c r="H34" t="str">
        <f t="shared" si="4"/>
        <v>Back Transplant</v>
      </c>
      <c r="I34" t="s">
        <v>252</v>
      </c>
    </row>
    <row r="35" spans="1:9">
      <c r="A35">
        <v>213274</v>
      </c>
      <c r="B35" t="s">
        <v>54</v>
      </c>
      <c r="C35" t="str">
        <f t="shared" si="0"/>
        <v>119</v>
      </c>
      <c r="D35" s="1" t="str">
        <f t="shared" si="1"/>
        <v>pocillopora</v>
      </c>
      <c r="E35" s="1" t="str">
        <f t="shared" si="2"/>
        <v>meandrina</v>
      </c>
      <c r="F35" s="2" t="str">
        <f t="shared" si="3"/>
        <v>OBC05F80POC</v>
      </c>
      <c r="G35" t="str">
        <f>IF(LEFT(F35,1)="T","Tiahura",IF(LEFT(F35,1)="O","Opunohu",NA))</f>
        <v>Opunohu</v>
      </c>
      <c r="H35" t="str">
        <f t="shared" si="4"/>
        <v>Back Transplant</v>
      </c>
      <c r="I35" t="s">
        <v>252</v>
      </c>
    </row>
    <row r="36" spans="1:9">
      <c r="A36">
        <v>213289</v>
      </c>
      <c r="B36" t="s">
        <v>55</v>
      </c>
      <c r="C36" t="str">
        <f t="shared" si="0"/>
        <v>132</v>
      </c>
      <c r="D36" s="1" t="str">
        <f t="shared" si="1"/>
        <v>pocillopora</v>
      </c>
      <c r="E36" s="1" t="str">
        <f t="shared" si="2"/>
        <v>meandrina</v>
      </c>
      <c r="F36" s="2" t="str">
        <f t="shared" si="3"/>
        <v>TBC04F80POC</v>
      </c>
      <c r="G36" t="str">
        <f>IF(LEFT(F36,1)="T","Tiahura",IF(LEFT(F36,1)="O","Opunohu",NA))</f>
        <v>Tiahura</v>
      </c>
      <c r="H36" t="str">
        <f t="shared" si="4"/>
        <v>Back Transplant</v>
      </c>
      <c r="I36" t="s">
        <v>252</v>
      </c>
    </row>
    <row r="37" spans="1:9">
      <c r="A37">
        <v>213291</v>
      </c>
      <c r="B37" t="s">
        <v>266</v>
      </c>
      <c r="C37" t="str">
        <f t="shared" si="0"/>
        <v>14</v>
      </c>
      <c r="D37" s="1" t="s">
        <v>122</v>
      </c>
      <c r="E37" s="1" t="str">
        <f t="shared" si="2"/>
        <v>meandrina</v>
      </c>
      <c r="F37" s="2" t="str">
        <f t="shared" si="3"/>
        <v>TGC04F00POC_2</v>
      </c>
      <c r="G37" t="str">
        <f>IF(LEFT(F37,1)="T","Tiahura",IF(LEFT(F37,1)="O","Opunohu",NA))</f>
        <v>Tiahura</v>
      </c>
      <c r="H37" t="s">
        <v>254</v>
      </c>
      <c r="I37" t="s">
        <v>254</v>
      </c>
    </row>
    <row r="38" spans="1:9">
      <c r="A38">
        <v>213257</v>
      </c>
      <c r="B38" t="s">
        <v>56</v>
      </c>
      <c r="C38" t="str">
        <f t="shared" si="0"/>
        <v>103</v>
      </c>
      <c r="D38" s="1" t="str">
        <f t="shared" si="1"/>
        <v>pocillopora</v>
      </c>
      <c r="E38" s="1" t="str">
        <f t="shared" si="2"/>
        <v>meandrina</v>
      </c>
      <c r="F38" s="2" t="str">
        <f t="shared" si="3"/>
        <v>TBC04F60POC</v>
      </c>
      <c r="G38" t="str">
        <f>IF(LEFT(F38,1)="T","Tiahura",IF(LEFT(F38,1)="O","Opunohu",NA))</f>
        <v>Tiahura</v>
      </c>
      <c r="H38" t="str">
        <f t="shared" si="4"/>
        <v>Back Transplant</v>
      </c>
      <c r="I38" t="s">
        <v>253</v>
      </c>
    </row>
    <row r="39" spans="1:9">
      <c r="A39">
        <v>213286</v>
      </c>
      <c r="B39" t="s">
        <v>267</v>
      </c>
      <c r="C39" t="str">
        <f t="shared" si="0"/>
        <v>13</v>
      </c>
      <c r="D39" s="1" t="s">
        <v>122</v>
      </c>
      <c r="E39" s="1" t="str">
        <f t="shared" si="2"/>
        <v>meandrina</v>
      </c>
      <c r="F39" s="2" t="str">
        <f t="shared" si="3"/>
        <v>TGC03F00POC_2</v>
      </c>
      <c r="G39" t="str">
        <f>IF(LEFT(F39,1)="T","Tiahura",IF(LEFT(F39,1)="O","Opunohu",NA))</f>
        <v>Tiahura</v>
      </c>
      <c r="H39" t="s">
        <v>254</v>
      </c>
      <c r="I39" t="s">
        <v>254</v>
      </c>
    </row>
    <row r="40" spans="1:9">
      <c r="A40">
        <v>213264</v>
      </c>
      <c r="B40" t="s">
        <v>268</v>
      </c>
      <c r="C40" t="str">
        <f t="shared" si="0"/>
        <v>11</v>
      </c>
      <c r="D40" s="1" t="s">
        <v>122</v>
      </c>
      <c r="E40" s="1" t="str">
        <f t="shared" si="2"/>
        <v>meandrina</v>
      </c>
      <c r="F40" s="2" t="str">
        <f t="shared" si="3"/>
        <v>TGC01F00POC_2</v>
      </c>
      <c r="G40" t="str">
        <f>IF(LEFT(F40,1)="T","Tiahura",IF(LEFT(F40,1)="O","Opunohu",NA))</f>
        <v>Tiahura</v>
      </c>
      <c r="H40" t="s">
        <v>254</v>
      </c>
      <c r="I40" t="s">
        <v>254</v>
      </c>
    </row>
    <row r="41" spans="1:9">
      <c r="A41">
        <v>213255</v>
      </c>
      <c r="B41" t="s">
        <v>57</v>
      </c>
      <c r="C41" t="str">
        <f t="shared" si="0"/>
        <v>101</v>
      </c>
      <c r="D41" s="1" t="str">
        <f t="shared" si="1"/>
        <v>pocillopora</v>
      </c>
      <c r="E41" s="1" t="str">
        <f t="shared" si="2"/>
        <v>meandrina</v>
      </c>
      <c r="F41" s="2" t="str">
        <f t="shared" si="3"/>
        <v>TBC02F60POC</v>
      </c>
      <c r="G41" t="str">
        <f>IF(LEFT(F41,1)="T","Tiahura",IF(LEFT(F41,1)="O","Opunohu",NA))</f>
        <v>Tiahura</v>
      </c>
      <c r="H41" t="str">
        <f t="shared" si="4"/>
        <v>Back Transplant</v>
      </c>
      <c r="I41" t="s">
        <v>253</v>
      </c>
    </row>
    <row r="42" spans="1:9">
      <c r="A42">
        <v>213275</v>
      </c>
      <c r="B42" t="s">
        <v>269</v>
      </c>
      <c r="C42" t="str">
        <f t="shared" si="0"/>
        <v>12</v>
      </c>
      <c r="D42" s="1" t="s">
        <v>122</v>
      </c>
      <c r="E42" s="1" t="str">
        <f t="shared" si="2"/>
        <v>meandrina</v>
      </c>
      <c r="F42" s="2" t="str">
        <f t="shared" si="3"/>
        <v>TGC02F00POC_2</v>
      </c>
      <c r="G42" t="str">
        <f>IF(LEFT(F42,1)="T","Tiahura",IF(LEFT(F42,1)="O","Opunohu",NA))</f>
        <v>Tiahura</v>
      </c>
      <c r="H42" t="s">
        <v>254</v>
      </c>
      <c r="I42" t="s">
        <v>254</v>
      </c>
    </row>
    <row r="43" spans="1:9">
      <c r="A43">
        <v>213267</v>
      </c>
      <c r="B43" t="s">
        <v>58</v>
      </c>
      <c r="C43" t="str">
        <f t="shared" si="0"/>
        <v>112</v>
      </c>
      <c r="D43" s="1" t="str">
        <f t="shared" si="1"/>
        <v>pocillopora</v>
      </c>
      <c r="E43" s="1" t="str">
        <f t="shared" si="2"/>
        <v>meandrina</v>
      </c>
      <c r="F43" s="2" t="str">
        <f t="shared" si="3"/>
        <v>TTC03F80POC</v>
      </c>
      <c r="G43" t="str">
        <f>IF(LEFT(F43,1)="T","Tiahura",IF(LEFT(F43,1)="O","Opunohu",NA))</f>
        <v>Tiahura</v>
      </c>
      <c r="H43" t="str">
        <f t="shared" si="4"/>
        <v>Out Transplant</v>
      </c>
      <c r="I43" t="s">
        <v>252</v>
      </c>
    </row>
    <row r="44" spans="1:9">
      <c r="A44">
        <v>213300</v>
      </c>
      <c r="B44" t="s">
        <v>119</v>
      </c>
      <c r="C44" t="str">
        <f t="shared" si="0"/>
        <v>2</v>
      </c>
      <c r="D44" s="1" t="str">
        <f t="shared" si="1"/>
        <v>pocillopora</v>
      </c>
      <c r="E44" s="1" t="str">
        <f t="shared" si="2"/>
        <v>meandrina</v>
      </c>
      <c r="F44" s="2" t="str">
        <f t="shared" si="3"/>
        <v>TGC02F00POC</v>
      </c>
      <c r="G44" t="str">
        <f>IF(LEFT(F44,1)="T","Tiahura",IF(LEFT(F44,1)="O","Opunohu",NA))</f>
        <v>Tiahura</v>
      </c>
      <c r="H44" t="str">
        <f t="shared" si="4"/>
        <v>Genotype</v>
      </c>
      <c r="I44" t="s">
        <v>250</v>
      </c>
    </row>
    <row r="45" spans="1:9">
      <c r="A45">
        <v>213252</v>
      </c>
      <c r="B45" t="s">
        <v>121</v>
      </c>
      <c r="C45" t="str">
        <f t="shared" si="0"/>
        <v>1</v>
      </c>
      <c r="D45" s="1" t="str">
        <f t="shared" si="1"/>
        <v>pocillopora</v>
      </c>
      <c r="E45" s="1" t="str">
        <f t="shared" si="2"/>
        <v>meandrina</v>
      </c>
      <c r="F45" s="2" t="str">
        <f t="shared" si="3"/>
        <v>TGC01F00POC</v>
      </c>
      <c r="G45" t="str">
        <f>IF(LEFT(F45,1)="T","Tiahura",IF(LEFT(F45,1)="O","Opunohu",NA))</f>
        <v>Tiahura</v>
      </c>
      <c r="H45" t="str">
        <f t="shared" si="4"/>
        <v>Genotype</v>
      </c>
      <c r="I45" t="s">
        <v>250</v>
      </c>
    </row>
    <row r="46" spans="1:9">
      <c r="A46">
        <v>213311</v>
      </c>
      <c r="B46" t="s">
        <v>109</v>
      </c>
      <c r="C46" t="str">
        <f t="shared" si="0"/>
        <v>3</v>
      </c>
      <c r="D46" s="1" t="str">
        <f t="shared" si="1"/>
        <v>pocillopora</v>
      </c>
      <c r="E46" s="1" t="str">
        <f t="shared" si="2"/>
        <v>meandrina</v>
      </c>
      <c r="F46" s="2" t="str">
        <f t="shared" si="3"/>
        <v>TGC03F00POC</v>
      </c>
      <c r="G46" t="str">
        <f>IF(LEFT(F46,1)="T","Tiahura",IF(LEFT(F46,1)="O","Opunohu",NA))</f>
        <v>Tiahura</v>
      </c>
      <c r="H46" t="str">
        <f t="shared" si="4"/>
        <v>Genotype</v>
      </c>
      <c r="I46" t="s">
        <v>250</v>
      </c>
    </row>
    <row r="47" spans="1:9">
      <c r="A47">
        <v>213292</v>
      </c>
      <c r="B47" t="s">
        <v>270</v>
      </c>
      <c r="C47" t="str">
        <f t="shared" si="0"/>
        <v>15</v>
      </c>
      <c r="D47" s="1" t="s">
        <v>122</v>
      </c>
      <c r="E47" s="1" t="str">
        <f t="shared" si="2"/>
        <v>meandrina</v>
      </c>
      <c r="F47" s="2" t="str">
        <f t="shared" si="3"/>
        <v>TGC05F00POC_2</v>
      </c>
      <c r="G47" t="str">
        <f>IF(LEFT(F47,1)="T","Tiahura",IF(LEFT(F47,1)="O","Opunohu",NA))</f>
        <v>Tiahura</v>
      </c>
      <c r="H47" t="s">
        <v>254</v>
      </c>
      <c r="I47" t="s">
        <v>254</v>
      </c>
    </row>
    <row r="48" spans="1:9">
      <c r="A48">
        <v>213322</v>
      </c>
      <c r="B48" t="s">
        <v>98</v>
      </c>
      <c r="C48" t="str">
        <f t="shared" si="0"/>
        <v>4</v>
      </c>
      <c r="D48" s="1" t="str">
        <f t="shared" si="1"/>
        <v>pocillopora</v>
      </c>
      <c r="E48" s="1" t="str">
        <f t="shared" si="2"/>
        <v>meandrina</v>
      </c>
      <c r="F48" s="2" t="str">
        <f t="shared" si="3"/>
        <v>TGC04F00POC</v>
      </c>
      <c r="G48" t="str">
        <f>IF(LEFT(F48,1)="T","Tiahura",IF(LEFT(F48,1)="O","Opunohu",NA))</f>
        <v>Tiahura</v>
      </c>
      <c r="H48" t="str">
        <f t="shared" si="4"/>
        <v>Genotype</v>
      </c>
      <c r="I48" t="s">
        <v>250</v>
      </c>
    </row>
    <row r="49" spans="1:9">
      <c r="A49">
        <v>213346</v>
      </c>
      <c r="B49" t="s">
        <v>59</v>
      </c>
      <c r="C49" t="str">
        <f t="shared" si="0"/>
        <v>62</v>
      </c>
      <c r="D49" s="1" t="str">
        <f t="shared" si="1"/>
        <v>pocillopora</v>
      </c>
      <c r="E49" s="1" t="str">
        <f t="shared" si="2"/>
        <v>meandrina</v>
      </c>
      <c r="F49" s="2" t="str">
        <f t="shared" si="3"/>
        <v>TBC02F41POC</v>
      </c>
      <c r="G49" t="str">
        <f>IF(LEFT(F49,1)="T","Tiahura",IF(LEFT(F49,1)="O","Opunohu",NA))</f>
        <v>Tiahura</v>
      </c>
      <c r="H49" t="str">
        <f t="shared" si="4"/>
        <v>Back Transplant</v>
      </c>
      <c r="I49" t="s">
        <v>263</v>
      </c>
    </row>
    <row r="50" spans="1:9">
      <c r="A50">
        <v>213383</v>
      </c>
      <c r="B50" t="s">
        <v>60</v>
      </c>
      <c r="C50" t="str">
        <f t="shared" si="0"/>
        <v>96</v>
      </c>
      <c r="D50" s="1" t="str">
        <f t="shared" si="1"/>
        <v>pocillopora</v>
      </c>
      <c r="E50" s="1" t="str">
        <f t="shared" si="2"/>
        <v>meandrina</v>
      </c>
      <c r="F50" s="2" t="str">
        <f t="shared" si="3"/>
        <v>OTC02F60POC</v>
      </c>
      <c r="G50" t="str">
        <f>IF(LEFT(F50,1)="T","Tiahura",IF(LEFT(F50,1)="O","Opunohu",NA))</f>
        <v>Opunohu</v>
      </c>
      <c r="H50" t="str">
        <f t="shared" si="4"/>
        <v>Out Transplant</v>
      </c>
      <c r="I50" t="s">
        <v>253</v>
      </c>
    </row>
    <row r="51" spans="1:9">
      <c r="A51">
        <v>213350</v>
      </c>
      <c r="B51" t="s">
        <v>61</v>
      </c>
      <c r="C51" t="str">
        <f t="shared" si="0"/>
        <v>66</v>
      </c>
      <c r="D51" s="1" t="str">
        <f t="shared" si="1"/>
        <v>pocillopora</v>
      </c>
      <c r="E51" s="1" t="str">
        <f t="shared" si="2"/>
        <v>meandrina</v>
      </c>
      <c r="F51" s="2" t="str">
        <f t="shared" si="3"/>
        <v>TTC02F40POC</v>
      </c>
      <c r="G51" t="str">
        <f>IF(LEFT(F51,1)="T","Tiahura",IF(LEFT(F51,1)="O","Opunohu",NA))</f>
        <v>Tiahura</v>
      </c>
      <c r="H51" t="str">
        <f t="shared" si="4"/>
        <v>Out Transplant</v>
      </c>
      <c r="I51" t="s">
        <v>263</v>
      </c>
    </row>
    <row r="52" spans="1:9">
      <c r="A52">
        <v>213382</v>
      </c>
      <c r="B52" t="s">
        <v>34</v>
      </c>
      <c r="C52" t="str">
        <f t="shared" si="0"/>
        <v>95</v>
      </c>
      <c r="D52" s="1" t="str">
        <f t="shared" si="1"/>
        <v>pocillopora</v>
      </c>
      <c r="E52" s="1" t="str">
        <f t="shared" si="2"/>
        <v>meandrina</v>
      </c>
      <c r="F52" s="2" t="str">
        <f t="shared" si="3"/>
        <v>OTC01F60POC</v>
      </c>
      <c r="G52" t="str">
        <f>IF(LEFT(F52,1)="T","Tiahura",IF(LEFT(F52,1)="O","Opunohu",NA))</f>
        <v>Opunohu</v>
      </c>
      <c r="H52" t="str">
        <f t="shared" si="4"/>
        <v>Out Transplant</v>
      </c>
      <c r="I52" t="s">
        <v>253</v>
      </c>
    </row>
    <row r="53" spans="1:9">
      <c r="A53">
        <v>213341</v>
      </c>
      <c r="B53" t="s">
        <v>35</v>
      </c>
      <c r="C53" t="str">
        <f t="shared" si="0"/>
        <v>57</v>
      </c>
      <c r="D53" s="1" t="str">
        <f t="shared" si="1"/>
        <v>pocillopora</v>
      </c>
      <c r="E53" s="1" t="str">
        <f t="shared" si="2"/>
        <v>meandrina</v>
      </c>
      <c r="F53" s="2" t="str">
        <f t="shared" si="3"/>
        <v>OBC02F41POC</v>
      </c>
      <c r="G53" t="str">
        <f>IF(LEFT(F53,1)="T","Tiahura",IF(LEFT(F53,1)="O","Opunohu",NA))</f>
        <v>Opunohu</v>
      </c>
      <c r="H53" t="str">
        <f t="shared" si="4"/>
        <v>Back Transplant</v>
      </c>
      <c r="I53" t="s">
        <v>263</v>
      </c>
    </row>
    <row r="54" spans="1:9">
      <c r="A54">
        <v>213384</v>
      </c>
      <c r="B54" t="s">
        <v>36</v>
      </c>
      <c r="C54" t="str">
        <f t="shared" si="0"/>
        <v>97</v>
      </c>
      <c r="D54" s="1" t="str">
        <f t="shared" si="1"/>
        <v>pocillopora</v>
      </c>
      <c r="E54" s="1" t="str">
        <f t="shared" si="2"/>
        <v>meandrina</v>
      </c>
      <c r="F54" s="2" t="str">
        <f t="shared" si="3"/>
        <v>OTC03F60POC</v>
      </c>
      <c r="G54" t="str">
        <f>IF(LEFT(F54,1)="T","Tiahura",IF(LEFT(F54,1)="O","Opunohu",NA))</f>
        <v>Opunohu</v>
      </c>
      <c r="H54" t="str">
        <f t="shared" si="4"/>
        <v>Out Transplant</v>
      </c>
      <c r="I54" t="s">
        <v>253</v>
      </c>
    </row>
    <row r="55" spans="1:9">
      <c r="A55">
        <v>213359</v>
      </c>
      <c r="B55" t="s">
        <v>37</v>
      </c>
      <c r="C55" t="str">
        <f t="shared" si="0"/>
        <v>74</v>
      </c>
      <c r="D55" s="1" t="str">
        <f t="shared" si="1"/>
        <v>porites</v>
      </c>
      <c r="E55" s="1" t="str">
        <f t="shared" si="2"/>
        <v>rus</v>
      </c>
      <c r="F55" s="2" t="str">
        <f t="shared" si="3"/>
        <v>OBC03F40POR</v>
      </c>
      <c r="G55" t="str">
        <f>IF(LEFT(F55,1)="T","Tiahura",IF(LEFT(F55,1)="O","Opunohu",NA))</f>
        <v>Opunohu</v>
      </c>
      <c r="H55" t="str">
        <f t="shared" si="4"/>
        <v>Back Transplant</v>
      </c>
      <c r="I55" t="s">
        <v>263</v>
      </c>
    </row>
    <row r="56" spans="1:9">
      <c r="A56">
        <v>213256</v>
      </c>
      <c r="B56" t="s">
        <v>38</v>
      </c>
      <c r="C56" t="str">
        <f t="shared" si="0"/>
        <v>102</v>
      </c>
      <c r="D56" s="1" t="str">
        <f t="shared" si="1"/>
        <v>pocillopora</v>
      </c>
      <c r="E56" s="1" t="str">
        <f t="shared" si="2"/>
        <v>meandrina</v>
      </c>
      <c r="F56" s="2" t="str">
        <f t="shared" si="3"/>
        <v>TBC03F60POC</v>
      </c>
      <c r="G56" t="str">
        <f>IF(LEFT(F56,1)="T","Tiahura",IF(LEFT(F56,1)="O","Opunohu",NA))</f>
        <v>Tiahura</v>
      </c>
      <c r="H56" t="str">
        <f t="shared" si="4"/>
        <v>Back Transplant</v>
      </c>
      <c r="I56" t="s">
        <v>253</v>
      </c>
    </row>
    <row r="57" spans="1:9">
      <c r="A57">
        <v>213335</v>
      </c>
      <c r="B57" t="s">
        <v>39</v>
      </c>
      <c r="C57" t="str">
        <f t="shared" si="0"/>
        <v>51</v>
      </c>
      <c r="D57" s="1" t="str">
        <f t="shared" si="1"/>
        <v>pocillopora</v>
      </c>
      <c r="E57" s="1" t="str">
        <f t="shared" si="2"/>
        <v>meandrina</v>
      </c>
      <c r="F57" s="2" t="str">
        <f t="shared" si="3"/>
        <v>OTC01F41POC</v>
      </c>
      <c r="G57" t="str">
        <f>IF(LEFT(F57,1)="T","Tiahura",IF(LEFT(F57,1)="O","Opunohu",NA))</f>
        <v>Opunohu</v>
      </c>
      <c r="H57" t="str">
        <f t="shared" si="4"/>
        <v>Out Transplant</v>
      </c>
      <c r="I57" t="s">
        <v>263</v>
      </c>
    </row>
    <row r="58" spans="1:9">
      <c r="A58">
        <v>213363</v>
      </c>
      <c r="B58" t="s">
        <v>40</v>
      </c>
      <c r="C58" t="str">
        <f t="shared" si="0"/>
        <v>78</v>
      </c>
      <c r="D58" s="1" t="str">
        <f t="shared" si="1"/>
        <v>pocillopora</v>
      </c>
      <c r="E58" s="1" t="str">
        <f t="shared" si="2"/>
        <v>meandrina</v>
      </c>
      <c r="F58" s="2" t="str">
        <f t="shared" si="3"/>
        <v>OBC02F60POC</v>
      </c>
      <c r="G58" t="str">
        <f>IF(LEFT(F58,1)="T","Tiahura",IF(LEFT(F58,1)="O","Opunohu",NA))</f>
        <v>Opunohu</v>
      </c>
      <c r="H58" t="str">
        <f t="shared" si="4"/>
        <v>Back Transplant</v>
      </c>
      <c r="I58" t="s">
        <v>253</v>
      </c>
    </row>
    <row r="59" spans="1:9">
      <c r="A59">
        <v>213270</v>
      </c>
      <c r="B59" t="s">
        <v>41</v>
      </c>
      <c r="C59" t="str">
        <f t="shared" si="0"/>
        <v>115</v>
      </c>
      <c r="D59" s="1" t="str">
        <f t="shared" si="1"/>
        <v>pocillopora</v>
      </c>
      <c r="E59" s="1" t="str">
        <f t="shared" si="2"/>
        <v>meandrina</v>
      </c>
      <c r="F59" s="2" t="str">
        <f t="shared" si="3"/>
        <v>OBC01F80POC</v>
      </c>
      <c r="G59" t="str">
        <f>IF(LEFT(F59,1)="T","Tiahura",IF(LEFT(F59,1)="O","Opunohu",NA))</f>
        <v>Opunohu</v>
      </c>
      <c r="H59" t="str">
        <f t="shared" si="4"/>
        <v>Back Transplant</v>
      </c>
      <c r="I59" t="s">
        <v>252</v>
      </c>
    </row>
    <row r="60" spans="1:9">
      <c r="A60">
        <v>213380</v>
      </c>
      <c r="B60" t="s">
        <v>42</v>
      </c>
      <c r="C60" t="str">
        <f t="shared" si="0"/>
        <v>93</v>
      </c>
      <c r="D60" s="1" t="str">
        <f t="shared" si="1"/>
        <v>pocillopora</v>
      </c>
      <c r="E60" s="1" t="str">
        <f t="shared" si="2"/>
        <v>meandrina</v>
      </c>
      <c r="F60" s="2" t="str">
        <f t="shared" si="3"/>
        <v>TTC04F60POC</v>
      </c>
      <c r="G60" t="str">
        <f>IF(LEFT(F60,1)="T","Tiahura",IF(LEFT(F60,1)="O","Opunohu",NA))</f>
        <v>Tiahura</v>
      </c>
      <c r="H60" t="str">
        <f t="shared" si="4"/>
        <v>Out Transplant</v>
      </c>
      <c r="I60" t="s">
        <v>253</v>
      </c>
    </row>
    <row r="61" spans="1:9">
      <c r="A61">
        <v>213385</v>
      </c>
      <c r="B61" t="s">
        <v>43</v>
      </c>
      <c r="C61" t="str">
        <f t="shared" si="0"/>
        <v>98</v>
      </c>
      <c r="D61" s="1" t="str">
        <f t="shared" si="1"/>
        <v>pocillopora</v>
      </c>
      <c r="E61" s="1" t="str">
        <f t="shared" si="2"/>
        <v>meandrina</v>
      </c>
      <c r="F61" s="2" t="str">
        <f t="shared" si="3"/>
        <v>OTC04F60POC</v>
      </c>
      <c r="G61" t="str">
        <f>IF(LEFT(F61,1)="T","Tiahura",IF(LEFT(F61,1)="O","Opunohu",NA))</f>
        <v>Opunohu</v>
      </c>
      <c r="H61" t="str">
        <f t="shared" si="4"/>
        <v>Out Transplant</v>
      </c>
      <c r="I61" t="s">
        <v>253</v>
      </c>
    </row>
    <row r="62" spans="1:9">
      <c r="A62">
        <v>213268</v>
      </c>
      <c r="B62" t="s">
        <v>44</v>
      </c>
      <c r="C62" t="str">
        <f t="shared" si="0"/>
        <v>113</v>
      </c>
      <c r="D62" s="1" t="str">
        <f t="shared" si="1"/>
        <v>pocillopora</v>
      </c>
      <c r="E62" s="1" t="str">
        <f t="shared" si="2"/>
        <v>meandrina</v>
      </c>
      <c r="F62" s="2" t="str">
        <f t="shared" si="3"/>
        <v>TTC04F80POC</v>
      </c>
      <c r="G62" t="str">
        <f>IF(LEFT(F62,1)="T","Tiahura",IF(LEFT(F62,1)="O","Opunohu",NA))</f>
        <v>Tiahura</v>
      </c>
      <c r="H62" t="str">
        <f t="shared" si="4"/>
        <v>Out Transplant</v>
      </c>
      <c r="I62" t="s">
        <v>252</v>
      </c>
    </row>
    <row r="63" spans="1:9">
      <c r="A63">
        <v>213338</v>
      </c>
      <c r="B63" t="s">
        <v>45</v>
      </c>
      <c r="C63" t="str">
        <f t="shared" si="0"/>
        <v>54</v>
      </c>
      <c r="D63" s="1" t="str">
        <f t="shared" si="1"/>
        <v>pocillopora</v>
      </c>
      <c r="E63" s="1" t="str">
        <f t="shared" si="2"/>
        <v>meandrina</v>
      </c>
      <c r="F63" s="2" t="str">
        <f t="shared" si="3"/>
        <v>OTC04F41POC</v>
      </c>
      <c r="G63" t="str">
        <f>IF(LEFT(F63,1)="T","Tiahura",IF(LEFT(F63,1)="O","Opunohu",NA))</f>
        <v>Opunohu</v>
      </c>
      <c r="H63" t="str">
        <f t="shared" si="4"/>
        <v>Out Transplant</v>
      </c>
      <c r="I63" t="s">
        <v>263</v>
      </c>
    </row>
    <row r="64" spans="1:9">
      <c r="A64">
        <v>213364</v>
      </c>
      <c r="B64" t="s">
        <v>46</v>
      </c>
      <c r="C64" t="str">
        <f t="shared" si="0"/>
        <v>79</v>
      </c>
      <c r="D64" s="1" t="str">
        <f t="shared" si="1"/>
        <v>pocillopora</v>
      </c>
      <c r="E64" s="1" t="str">
        <f t="shared" si="2"/>
        <v>meandrina</v>
      </c>
      <c r="F64" s="2" t="str">
        <f t="shared" si="3"/>
        <v>OBC03F60POC</v>
      </c>
      <c r="G64" t="str">
        <f>IF(LEFT(F64,1)="T","Tiahura",IF(LEFT(F64,1)="O","Opunohu",NA))</f>
        <v>Opunohu</v>
      </c>
      <c r="H64" t="str">
        <f t="shared" si="4"/>
        <v>Back Transplant</v>
      </c>
      <c r="I64" t="s">
        <v>253</v>
      </c>
    </row>
    <row r="65" spans="1:9">
      <c r="A65">
        <v>213343</v>
      </c>
      <c r="B65" t="s">
        <v>47</v>
      </c>
      <c r="C65" t="str">
        <f t="shared" si="0"/>
        <v>59</v>
      </c>
      <c r="D65" s="1" t="str">
        <f t="shared" si="1"/>
        <v>pocillopora</v>
      </c>
      <c r="E65" s="1" t="str">
        <f t="shared" si="2"/>
        <v>meandrina</v>
      </c>
      <c r="F65" s="2" t="str">
        <f t="shared" si="3"/>
        <v>OBC04F41POC</v>
      </c>
      <c r="G65" t="str">
        <f>IF(LEFT(F65,1)="T","Tiahura",IF(LEFT(F65,1)="O","Opunohu",NA))</f>
        <v>Opunohu</v>
      </c>
      <c r="H65" t="str">
        <f t="shared" si="4"/>
        <v>Back Transplant</v>
      </c>
      <c r="I65" t="s">
        <v>263</v>
      </c>
    </row>
    <row r="66" spans="1:9">
      <c r="A66">
        <v>213378</v>
      </c>
      <c r="B66" t="s">
        <v>48</v>
      </c>
      <c r="C66" t="str">
        <f t="shared" si="0"/>
        <v>91</v>
      </c>
      <c r="D66" s="1" t="str">
        <f t="shared" si="1"/>
        <v>pocillopora</v>
      </c>
      <c r="E66" s="1" t="str">
        <f t="shared" si="2"/>
        <v>meandrina</v>
      </c>
      <c r="F66" s="2" t="str">
        <f t="shared" si="3"/>
        <v>TTC02F60POC</v>
      </c>
      <c r="G66" t="str">
        <f>IF(LEFT(F66,1)="T","Tiahura",IF(LEFT(F66,1)="O","Opunohu",NA))</f>
        <v>Tiahura</v>
      </c>
      <c r="H66" t="str">
        <f t="shared" si="4"/>
        <v>Out Transplant</v>
      </c>
      <c r="I66" t="s">
        <v>253</v>
      </c>
    </row>
    <row r="67" spans="1:9">
      <c r="A67">
        <v>213345</v>
      </c>
      <c r="B67" t="s">
        <v>49</v>
      </c>
      <c r="C67" t="str">
        <f t="shared" ref="C67:C130" si="5">LEFT(B67,FIND("-",B67)-1)</f>
        <v>61</v>
      </c>
      <c r="D67" s="1" t="str">
        <f t="shared" ref="D67:D130" si="6">IF(RIGHT(B67,3)="POR","porites",IF(RIGHT(B67,3)="POC","pocillopora","NA"))</f>
        <v>pocillopora</v>
      </c>
      <c r="E67" s="1" t="str">
        <f t="shared" ref="E67:E130" si="7">IF(D67="porites","rus",IF(D67="pocillopora","meandrina","NA"))</f>
        <v>meandrina</v>
      </c>
      <c r="F67" s="2" t="str">
        <f t="shared" ref="F67:F130" si="8">RIGHT(B67,LEN(B67)-SEARCH("-",B67))</f>
        <v>TBC02F40POC</v>
      </c>
      <c r="G67" t="str">
        <f>IF(LEFT(F67,1)="T","Tiahura",IF(LEFT(F67,1)="O","Opunohu",NA))</f>
        <v>Tiahura</v>
      </c>
      <c r="H67" t="str">
        <f t="shared" ref="H67:H130" si="9">IF(MID(F67,2,1)="T","Out Transplant",IF(MID(F67,2,1)="B","Back Transplant",IF(MID(F67,2,1)="G","Genotype","NA")))</f>
        <v>Back Transplant</v>
      </c>
      <c r="I67" t="s">
        <v>263</v>
      </c>
    </row>
    <row r="68" spans="1:9">
      <c r="A68">
        <v>213303</v>
      </c>
      <c r="B68" t="s">
        <v>117</v>
      </c>
      <c r="C68" t="str">
        <f t="shared" si="5"/>
        <v>22</v>
      </c>
      <c r="D68" s="1" t="str">
        <f t="shared" si="6"/>
        <v>porites</v>
      </c>
      <c r="E68" s="1" t="str">
        <f t="shared" si="7"/>
        <v>rus</v>
      </c>
      <c r="F68" s="2" t="str">
        <f t="shared" si="8"/>
        <v>TGC02F00POR</v>
      </c>
      <c r="G68" t="str">
        <f>IF(LEFT(F68,1)="T","Tiahura",IF(LEFT(F68,1)="O","Opunohu",NA))</f>
        <v>Tiahura</v>
      </c>
      <c r="H68" t="str">
        <f t="shared" si="9"/>
        <v>Genotype</v>
      </c>
      <c r="I68" t="s">
        <v>250</v>
      </c>
    </row>
    <row r="69" spans="1:9">
      <c r="A69">
        <v>213260</v>
      </c>
      <c r="B69" t="s">
        <v>4</v>
      </c>
      <c r="C69" t="str">
        <f t="shared" si="5"/>
        <v>106</v>
      </c>
      <c r="D69" s="1" t="str">
        <f t="shared" si="6"/>
        <v>porites</v>
      </c>
      <c r="E69" s="1" t="str">
        <f t="shared" si="7"/>
        <v>rus</v>
      </c>
      <c r="F69" s="2" t="str">
        <f t="shared" si="8"/>
        <v>TTC02F80POR</v>
      </c>
      <c r="G69" t="str">
        <f>IF(LEFT(F69,1)="T","Tiahura",IF(LEFT(F69,1)="O","Opunohu",NA))</f>
        <v>Tiahura</v>
      </c>
      <c r="H69" t="str">
        <f t="shared" si="9"/>
        <v>Out Transplant</v>
      </c>
      <c r="I69" t="s">
        <v>252</v>
      </c>
    </row>
    <row r="70" spans="1:9">
      <c r="A70">
        <v>213373</v>
      </c>
      <c r="B70" t="s">
        <v>8</v>
      </c>
      <c r="C70" t="str">
        <f t="shared" si="5"/>
        <v>87</v>
      </c>
      <c r="D70" s="1" t="str">
        <f t="shared" si="6"/>
        <v>porites</v>
      </c>
      <c r="E70" s="1" t="str">
        <f t="shared" si="7"/>
        <v>rus</v>
      </c>
      <c r="F70" s="2" t="str">
        <f t="shared" si="8"/>
        <v>TTC03F60POR</v>
      </c>
      <c r="G70" t="str">
        <f>IF(LEFT(F70,1)="T","Tiahura",IF(LEFT(F70,1)="O","Opunohu",NA))</f>
        <v>Tiahura</v>
      </c>
      <c r="H70" t="str">
        <f t="shared" si="9"/>
        <v>Out Transplant</v>
      </c>
      <c r="I70" t="s">
        <v>253</v>
      </c>
    </row>
    <row r="71" spans="1:9">
      <c r="A71">
        <v>213375</v>
      </c>
      <c r="B71" t="s">
        <v>14</v>
      </c>
      <c r="C71" t="str">
        <f t="shared" si="5"/>
        <v>89</v>
      </c>
      <c r="D71" s="1" t="str">
        <f t="shared" si="6"/>
        <v>porites</v>
      </c>
      <c r="E71" s="1" t="str">
        <f t="shared" si="7"/>
        <v>rus</v>
      </c>
      <c r="F71" s="2" t="str">
        <f t="shared" si="8"/>
        <v>TTC05F60POR</v>
      </c>
      <c r="G71" t="str">
        <f>IF(LEFT(F71,1)="T","Tiahura",IF(LEFT(F71,1)="O","Opunohu",NA))</f>
        <v>Tiahura</v>
      </c>
      <c r="H71" t="str">
        <f t="shared" si="9"/>
        <v>Out Transplant</v>
      </c>
      <c r="I71" t="s">
        <v>253</v>
      </c>
    </row>
    <row r="72" spans="1:9">
      <c r="A72">
        <v>213353</v>
      </c>
      <c r="B72" t="s">
        <v>9</v>
      </c>
      <c r="C72" t="str">
        <f t="shared" si="5"/>
        <v>69</v>
      </c>
      <c r="D72" s="1" t="str">
        <f t="shared" si="6"/>
        <v>pocillopora</v>
      </c>
      <c r="E72" s="1" t="str">
        <f t="shared" si="7"/>
        <v>meandrina</v>
      </c>
      <c r="F72" s="2" t="str">
        <f t="shared" si="8"/>
        <v>TTC05F40POC</v>
      </c>
      <c r="G72" t="str">
        <f>IF(LEFT(F72,1)="T","Tiahura",IF(LEFT(F72,1)="O","Opunohu",NA))</f>
        <v>Tiahura</v>
      </c>
      <c r="H72" t="str">
        <f t="shared" si="9"/>
        <v>Out Transplant</v>
      </c>
      <c r="I72" t="s">
        <v>263</v>
      </c>
    </row>
    <row r="73" spans="1:9">
      <c r="A73">
        <v>213320</v>
      </c>
      <c r="B73" t="s">
        <v>100</v>
      </c>
      <c r="C73" t="str">
        <f t="shared" si="5"/>
        <v>38</v>
      </c>
      <c r="D73" s="1" t="str">
        <f t="shared" si="6"/>
        <v>porites</v>
      </c>
      <c r="E73" s="1" t="str">
        <f t="shared" si="7"/>
        <v>rus</v>
      </c>
      <c r="F73" s="2" t="str">
        <f t="shared" si="8"/>
        <v>TTC03F12POR</v>
      </c>
      <c r="G73" t="str">
        <f>IF(LEFT(F73,1)="T","Tiahura",IF(LEFT(F73,1)="O","Opunohu",NA))</f>
        <v>Tiahura</v>
      </c>
      <c r="H73" t="str">
        <f t="shared" si="9"/>
        <v>Out Transplant</v>
      </c>
      <c r="I73" t="s">
        <v>251</v>
      </c>
    </row>
    <row r="74" spans="1:9">
      <c r="A74">
        <v>213315</v>
      </c>
      <c r="B74" t="s">
        <v>105</v>
      </c>
      <c r="C74" t="str">
        <f t="shared" si="5"/>
        <v>33</v>
      </c>
      <c r="D74" s="1" t="str">
        <f t="shared" si="6"/>
        <v>porites</v>
      </c>
      <c r="E74" s="1" t="str">
        <f t="shared" si="7"/>
        <v>rus</v>
      </c>
      <c r="F74" s="2" t="str">
        <f t="shared" si="8"/>
        <v>TBC03F11POR</v>
      </c>
      <c r="G74" t="str">
        <f>IF(LEFT(F74,1)="T","Tiahura",IF(LEFT(F74,1)="O","Opunohu",NA))</f>
        <v>Tiahura</v>
      </c>
      <c r="H74" t="str">
        <f t="shared" si="9"/>
        <v>Back Transplant</v>
      </c>
      <c r="I74" t="s">
        <v>251</v>
      </c>
    </row>
    <row r="75" spans="1:9">
      <c r="A75">
        <v>213306</v>
      </c>
      <c r="B75" t="s">
        <v>114</v>
      </c>
      <c r="C75" t="str">
        <f t="shared" si="5"/>
        <v>25</v>
      </c>
      <c r="D75" s="1" t="str">
        <f t="shared" si="6"/>
        <v>porites</v>
      </c>
      <c r="E75" s="1" t="str">
        <f t="shared" si="7"/>
        <v>rus</v>
      </c>
      <c r="F75" s="2" t="str">
        <f t="shared" si="8"/>
        <v>TGC05F00POR</v>
      </c>
      <c r="G75" t="str">
        <f>IF(LEFT(F75,1)="T","Tiahura",IF(LEFT(F75,1)="O","Opunohu",NA))</f>
        <v>Tiahura</v>
      </c>
      <c r="H75" t="str">
        <f t="shared" si="9"/>
        <v>Genotype</v>
      </c>
      <c r="I75" t="s">
        <v>250</v>
      </c>
    </row>
    <row r="76" spans="1:9">
      <c r="A76">
        <v>213319</v>
      </c>
      <c r="B76" t="s">
        <v>101</v>
      </c>
      <c r="C76" t="str">
        <f t="shared" si="5"/>
        <v>37</v>
      </c>
      <c r="D76" s="1" t="str">
        <f t="shared" si="6"/>
        <v>porites</v>
      </c>
      <c r="E76" s="1" t="str">
        <f t="shared" si="7"/>
        <v>rus</v>
      </c>
      <c r="F76" s="2" t="str">
        <f t="shared" si="8"/>
        <v>TTC02F08POR</v>
      </c>
      <c r="G76" t="str">
        <f>IF(LEFT(F76,1)="T","Tiahura",IF(LEFT(F76,1)="O","Opunohu",NA))</f>
        <v>Tiahura</v>
      </c>
      <c r="H76" t="str">
        <f t="shared" si="9"/>
        <v>Out Transplant</v>
      </c>
      <c r="I76" t="s">
        <v>251</v>
      </c>
    </row>
    <row r="77" spans="1:9">
      <c r="A77">
        <v>213314</v>
      </c>
      <c r="B77" t="s">
        <v>106</v>
      </c>
      <c r="C77" t="str">
        <f t="shared" si="5"/>
        <v>32</v>
      </c>
      <c r="D77" s="1" t="str">
        <f t="shared" si="6"/>
        <v>porites</v>
      </c>
      <c r="E77" s="1" t="str">
        <f t="shared" si="7"/>
        <v>rus</v>
      </c>
      <c r="F77" s="2" t="str">
        <f t="shared" si="8"/>
        <v>TBC02F11POR</v>
      </c>
      <c r="G77" t="str">
        <f>IF(LEFT(F77,1)="T","Tiahura",IF(LEFT(F77,1)="O","Opunohu",NA))</f>
        <v>Tiahura</v>
      </c>
      <c r="H77" t="str">
        <f t="shared" si="9"/>
        <v>Back Transplant</v>
      </c>
      <c r="I77" t="s">
        <v>251</v>
      </c>
    </row>
    <row r="78" spans="1:9">
      <c r="A78">
        <v>213263</v>
      </c>
      <c r="B78" t="s">
        <v>17</v>
      </c>
      <c r="C78" t="str">
        <f t="shared" si="5"/>
        <v>109</v>
      </c>
      <c r="D78" s="1" t="str">
        <f t="shared" si="6"/>
        <v>porites</v>
      </c>
      <c r="E78" s="1" t="str">
        <f t="shared" si="7"/>
        <v>rus</v>
      </c>
      <c r="F78" s="2" t="str">
        <f t="shared" si="8"/>
        <v>TTC05F80POR</v>
      </c>
      <c r="G78" t="str">
        <f>IF(LEFT(F78,1)="T","Tiahura",IF(LEFT(F78,1)="O","Opunohu",NA))</f>
        <v>Tiahura</v>
      </c>
      <c r="H78" t="str">
        <f t="shared" si="9"/>
        <v>Out Transplant</v>
      </c>
      <c r="I78" t="s">
        <v>252</v>
      </c>
    </row>
    <row r="79" spans="1:9">
      <c r="A79">
        <v>213261</v>
      </c>
      <c r="B79" t="s">
        <v>16</v>
      </c>
      <c r="C79" t="str">
        <f t="shared" si="5"/>
        <v>107</v>
      </c>
      <c r="D79" s="1" t="str">
        <f t="shared" si="6"/>
        <v>porites</v>
      </c>
      <c r="E79" s="1" t="str">
        <f t="shared" si="7"/>
        <v>rus</v>
      </c>
      <c r="F79" s="2" t="str">
        <f t="shared" si="8"/>
        <v>TTC03F80POR</v>
      </c>
      <c r="G79" t="str">
        <f>IF(LEFT(F79,1)="T","Tiahura",IF(LEFT(F79,1)="O","Opunohu",NA))</f>
        <v>Tiahura</v>
      </c>
      <c r="H79" t="str">
        <f t="shared" si="9"/>
        <v>Out Transplant</v>
      </c>
      <c r="I79" t="s">
        <v>252</v>
      </c>
    </row>
    <row r="80" spans="1:9">
      <c r="A80">
        <v>213304</v>
      </c>
      <c r="B80" t="s">
        <v>116</v>
      </c>
      <c r="C80" t="str">
        <f t="shared" si="5"/>
        <v>23</v>
      </c>
      <c r="D80" s="1" t="str">
        <f t="shared" si="6"/>
        <v>porites</v>
      </c>
      <c r="E80" s="1" t="str">
        <f t="shared" si="7"/>
        <v>rus</v>
      </c>
      <c r="F80" s="2" t="str">
        <f t="shared" si="8"/>
        <v>TGC03F00POR</v>
      </c>
      <c r="G80" t="str">
        <f>IF(LEFT(F80,1)="T","Tiahura",IF(LEFT(F80,1)="O","Opunohu",NA))</f>
        <v>Tiahura</v>
      </c>
      <c r="H80" t="str">
        <f t="shared" si="9"/>
        <v>Genotype</v>
      </c>
      <c r="I80" t="s">
        <v>250</v>
      </c>
    </row>
    <row r="81" spans="1:9">
      <c r="A81">
        <v>213317</v>
      </c>
      <c r="B81" t="s">
        <v>103</v>
      </c>
      <c r="C81" t="str">
        <f t="shared" si="5"/>
        <v>35</v>
      </c>
      <c r="D81" s="1" t="str">
        <f t="shared" si="6"/>
        <v>porites</v>
      </c>
      <c r="E81" s="1" t="str">
        <f t="shared" si="7"/>
        <v>rus</v>
      </c>
      <c r="F81" s="2" t="str">
        <f t="shared" si="8"/>
        <v>TBC05F11POR</v>
      </c>
      <c r="G81" t="str">
        <f>IF(LEFT(F81,1)="T","Tiahura",IF(LEFT(F81,1)="O","Opunohu",NA))</f>
        <v>Tiahura</v>
      </c>
      <c r="H81" t="str">
        <f t="shared" si="9"/>
        <v>Back Transplant</v>
      </c>
      <c r="I81" t="s">
        <v>251</v>
      </c>
    </row>
    <row r="82" spans="1:9">
      <c r="A82">
        <v>213351</v>
      </c>
      <c r="B82" t="s">
        <v>19</v>
      </c>
      <c r="C82" t="str">
        <f t="shared" si="5"/>
        <v>67</v>
      </c>
      <c r="D82" s="1" t="str">
        <f t="shared" si="6"/>
        <v>pocillopora</v>
      </c>
      <c r="E82" s="1" t="str">
        <f t="shared" si="7"/>
        <v>meandrina</v>
      </c>
      <c r="F82" s="2" t="str">
        <f t="shared" si="8"/>
        <v>TTC03F41POC</v>
      </c>
      <c r="G82" t="str">
        <f>IF(LEFT(F82,1)="T","Tiahura",IF(LEFT(F82,1)="O","Opunohu",NA))</f>
        <v>Tiahura</v>
      </c>
      <c r="H82" t="str">
        <f t="shared" si="9"/>
        <v>Out Transplant</v>
      </c>
      <c r="I82" t="s">
        <v>263</v>
      </c>
    </row>
    <row r="83" spans="1:9">
      <c r="A83">
        <v>213323</v>
      </c>
      <c r="B83" t="s">
        <v>97</v>
      </c>
      <c r="C83" t="str">
        <f t="shared" si="5"/>
        <v>40</v>
      </c>
      <c r="D83" s="1" t="str">
        <f t="shared" si="6"/>
        <v>porites</v>
      </c>
      <c r="E83" s="1" t="str">
        <f t="shared" si="7"/>
        <v>rus</v>
      </c>
      <c r="F83" s="2" t="str">
        <f t="shared" si="8"/>
        <v>TTC05F04POR</v>
      </c>
      <c r="G83" t="str">
        <f>IF(LEFT(F83,1)="T","Tiahura",IF(LEFT(F83,1)="O","Opunohu",NA))</f>
        <v>Tiahura</v>
      </c>
      <c r="H83" t="str">
        <f t="shared" si="9"/>
        <v>Out Transplant</v>
      </c>
      <c r="I83" t="s">
        <v>251</v>
      </c>
    </row>
    <row r="84" spans="1:9">
      <c r="A84">
        <v>213339</v>
      </c>
      <c r="B84" t="s">
        <v>80</v>
      </c>
      <c r="C84" t="str">
        <f t="shared" si="5"/>
        <v>55</v>
      </c>
      <c r="D84" s="1" t="str">
        <f t="shared" si="6"/>
        <v>pocillopora</v>
      </c>
      <c r="E84" s="1" t="str">
        <f t="shared" si="7"/>
        <v>meandrina</v>
      </c>
      <c r="F84" s="2" t="str">
        <f t="shared" si="8"/>
        <v>OTC05F41POC</v>
      </c>
      <c r="G84" t="str">
        <f>IF(LEFT(F84,1)="T","Tiahura",IF(LEFT(F84,1)="O","Opunohu",NA))</f>
        <v>Opunohu</v>
      </c>
      <c r="H84" t="str">
        <f t="shared" si="9"/>
        <v>Out Transplant</v>
      </c>
      <c r="I84" t="s">
        <v>263</v>
      </c>
    </row>
    <row r="85" spans="1:9">
      <c r="A85">
        <v>213273</v>
      </c>
      <c r="B85" t="s">
        <v>81</v>
      </c>
      <c r="C85" t="str">
        <f t="shared" si="5"/>
        <v>118</v>
      </c>
      <c r="D85" s="1" t="str">
        <f t="shared" si="6"/>
        <v>pocillopora</v>
      </c>
      <c r="E85" s="1" t="str">
        <f t="shared" si="7"/>
        <v>meandrina</v>
      </c>
      <c r="F85" s="2" t="str">
        <f t="shared" si="8"/>
        <v>OBC04F80POC</v>
      </c>
      <c r="G85" t="str">
        <f>IF(LEFT(F85,1)="T","Tiahura",IF(LEFT(F85,1)="O","Opunohu",NA))</f>
        <v>Opunohu</v>
      </c>
      <c r="H85" t="str">
        <f t="shared" si="9"/>
        <v>Back Transplant</v>
      </c>
      <c r="I85" t="s">
        <v>252</v>
      </c>
    </row>
    <row r="86" spans="1:9">
      <c r="A86">
        <v>213386</v>
      </c>
      <c r="B86" t="s">
        <v>82</v>
      </c>
      <c r="C86" t="str">
        <f t="shared" si="5"/>
        <v>99</v>
      </c>
      <c r="D86" s="1" t="str">
        <f t="shared" si="6"/>
        <v>pocillopora</v>
      </c>
      <c r="E86" s="1" t="str">
        <f t="shared" si="7"/>
        <v>meandrina</v>
      </c>
      <c r="F86" s="2" t="str">
        <f t="shared" si="8"/>
        <v>OTC05F60POC</v>
      </c>
      <c r="G86" t="str">
        <f>IF(LEFT(F86,1)="T","Tiahura",IF(LEFT(F86,1)="O","Opunohu",NA))</f>
        <v>Opunohu</v>
      </c>
      <c r="H86" t="str">
        <f t="shared" si="9"/>
        <v>Out Transplant</v>
      </c>
      <c r="I86" t="s">
        <v>253</v>
      </c>
    </row>
    <row r="87" spans="1:9">
      <c r="A87">
        <v>213342</v>
      </c>
      <c r="B87" t="s">
        <v>83</v>
      </c>
      <c r="C87" t="str">
        <f t="shared" si="5"/>
        <v>58</v>
      </c>
      <c r="D87" s="1" t="str">
        <f t="shared" si="6"/>
        <v>pocillopora</v>
      </c>
      <c r="E87" s="1" t="str">
        <f t="shared" si="7"/>
        <v>meandrina</v>
      </c>
      <c r="F87" s="2" t="str">
        <f t="shared" si="8"/>
        <v>OBC03F40POC</v>
      </c>
      <c r="G87" t="str">
        <f>IF(LEFT(F87,1)="T","Tiahura",IF(LEFT(F87,1)="O","Opunohu",NA))</f>
        <v>Opunohu</v>
      </c>
      <c r="H87" t="str">
        <f t="shared" si="9"/>
        <v>Back Transplant</v>
      </c>
      <c r="I87" t="s">
        <v>263</v>
      </c>
    </row>
    <row r="88" spans="1:9">
      <c r="A88">
        <v>213337</v>
      </c>
      <c r="B88" t="s">
        <v>84</v>
      </c>
      <c r="C88" t="str">
        <f t="shared" si="5"/>
        <v>53</v>
      </c>
      <c r="D88" s="1" t="str">
        <f t="shared" si="6"/>
        <v>pocillopora</v>
      </c>
      <c r="E88" s="1" t="str">
        <f t="shared" si="7"/>
        <v>meandrina</v>
      </c>
      <c r="F88" s="2" t="str">
        <f t="shared" si="8"/>
        <v>OTC03F41POC</v>
      </c>
      <c r="G88" t="str">
        <f>IF(LEFT(F88,1)="T","Tiahura",IF(LEFT(F88,1)="O","Opunohu",NA))</f>
        <v>Opunohu</v>
      </c>
      <c r="H88" t="str">
        <f t="shared" si="9"/>
        <v>Out Transplant</v>
      </c>
      <c r="I88" t="s">
        <v>263</v>
      </c>
    </row>
    <row r="89" spans="1:9">
      <c r="A89">
        <v>213344</v>
      </c>
      <c r="B89" t="s">
        <v>95</v>
      </c>
      <c r="C89" t="str">
        <f t="shared" si="5"/>
        <v>6</v>
      </c>
      <c r="D89" s="1" t="str">
        <f t="shared" si="6"/>
        <v>pocillopora</v>
      </c>
      <c r="E89" s="1" t="str">
        <f t="shared" si="7"/>
        <v>meandrina</v>
      </c>
      <c r="F89" s="2" t="str">
        <f t="shared" si="8"/>
        <v>OGC01F00POC</v>
      </c>
      <c r="G89" t="str">
        <f>IF(LEFT(F89,1)="T","Tiahura",IF(LEFT(F89,1)="O","Opunohu",NA))</f>
        <v>Opunohu</v>
      </c>
      <c r="H89" t="str">
        <f t="shared" si="9"/>
        <v>Genotype</v>
      </c>
      <c r="I89" t="s">
        <v>250</v>
      </c>
    </row>
    <row r="90" spans="1:9">
      <c r="A90">
        <v>213288</v>
      </c>
      <c r="B90" t="s">
        <v>85</v>
      </c>
      <c r="C90" t="str">
        <f t="shared" si="5"/>
        <v>131</v>
      </c>
      <c r="D90" s="1" t="str">
        <f t="shared" si="6"/>
        <v>pocillopora</v>
      </c>
      <c r="E90" s="1" t="str">
        <f t="shared" si="7"/>
        <v>meandrina</v>
      </c>
      <c r="F90" s="2" t="str">
        <f t="shared" si="8"/>
        <v>TBC03F80POC</v>
      </c>
      <c r="G90" t="str">
        <f>IF(LEFT(F90,1)="T","Tiahura",IF(LEFT(F90,1)="O","Opunohu",NA))</f>
        <v>Tiahura</v>
      </c>
      <c r="H90" t="str">
        <f t="shared" si="9"/>
        <v>Back Transplant</v>
      </c>
      <c r="I90" t="s">
        <v>252</v>
      </c>
    </row>
    <row r="91" spans="1:9">
      <c r="A91">
        <v>213333</v>
      </c>
      <c r="B91" t="s">
        <v>96</v>
      </c>
      <c r="C91" t="str">
        <f t="shared" si="5"/>
        <v>5</v>
      </c>
      <c r="D91" s="1" t="str">
        <f t="shared" si="6"/>
        <v>pocillopora</v>
      </c>
      <c r="E91" s="1" t="str">
        <f t="shared" si="7"/>
        <v>meandrina</v>
      </c>
      <c r="F91" s="2" t="str">
        <f t="shared" si="8"/>
        <v>TGC05F00POC</v>
      </c>
      <c r="G91" t="str">
        <f>IF(LEFT(F91,1)="T","Tiahura",IF(LEFT(F91,1)="O","Opunohu",NA))</f>
        <v>Tiahura</v>
      </c>
      <c r="H91" t="str">
        <f t="shared" si="9"/>
        <v>Genotype</v>
      </c>
      <c r="I91" t="s">
        <v>250</v>
      </c>
    </row>
    <row r="92" spans="1:9">
      <c r="A92">
        <v>213340</v>
      </c>
      <c r="B92" t="s">
        <v>86</v>
      </c>
      <c r="C92" t="str">
        <f t="shared" si="5"/>
        <v>56</v>
      </c>
      <c r="D92" s="1" t="str">
        <f t="shared" si="6"/>
        <v>pocillopora</v>
      </c>
      <c r="E92" s="1" t="str">
        <f t="shared" si="7"/>
        <v>meandrina</v>
      </c>
      <c r="F92" s="2" t="str">
        <f t="shared" si="8"/>
        <v>OBC01F40POC</v>
      </c>
      <c r="G92" t="str">
        <f>IF(LEFT(F92,1)="T","Tiahura",IF(LEFT(F92,1)="O","Opunohu",NA))</f>
        <v>Opunohu</v>
      </c>
      <c r="H92" t="str">
        <f t="shared" si="9"/>
        <v>Back Transplant</v>
      </c>
      <c r="I92" t="s">
        <v>263</v>
      </c>
    </row>
    <row r="93" spans="1:9">
      <c r="A93">
        <v>213354</v>
      </c>
      <c r="B93" t="s">
        <v>94</v>
      </c>
      <c r="C93" t="str">
        <f t="shared" si="5"/>
        <v>7</v>
      </c>
      <c r="D93" s="1" t="str">
        <f t="shared" si="6"/>
        <v>pocillopora</v>
      </c>
      <c r="E93" s="1" t="str">
        <f t="shared" si="7"/>
        <v>meandrina</v>
      </c>
      <c r="F93" s="2" t="str">
        <f t="shared" si="8"/>
        <v>OGC02F00POC</v>
      </c>
      <c r="G93" t="str">
        <f>IF(LEFT(F93,1)="T","Tiahura",IF(LEFT(F93,1)="O","Opunohu",NA))</f>
        <v>Opunohu</v>
      </c>
      <c r="H93" t="str">
        <f t="shared" si="9"/>
        <v>Genotype</v>
      </c>
      <c r="I93" t="s">
        <v>250</v>
      </c>
    </row>
    <row r="94" spans="1:9">
      <c r="A94">
        <v>213298</v>
      </c>
      <c r="B94" t="s">
        <v>271</v>
      </c>
      <c r="C94" t="str">
        <f t="shared" si="5"/>
        <v>18</v>
      </c>
      <c r="D94" s="1" t="s">
        <v>122</v>
      </c>
      <c r="E94" s="1" t="str">
        <f t="shared" si="7"/>
        <v>meandrina</v>
      </c>
      <c r="F94" s="2" t="str">
        <f t="shared" si="8"/>
        <v>OGC03F00POC_2</v>
      </c>
      <c r="G94" t="str">
        <f>IF(LEFT(F94,1)="T","Tiahura",IF(LEFT(F94,1)="O","Opunohu",NA))</f>
        <v>Opunohu</v>
      </c>
      <c r="H94" t="s">
        <v>254</v>
      </c>
      <c r="I94" t="s">
        <v>254</v>
      </c>
    </row>
    <row r="95" spans="1:9">
      <c r="A95">
        <v>213295</v>
      </c>
      <c r="B95" t="s">
        <v>272</v>
      </c>
      <c r="C95" t="str">
        <f t="shared" si="5"/>
        <v>16</v>
      </c>
      <c r="D95" s="1" t="s">
        <v>122</v>
      </c>
      <c r="E95" s="1" t="str">
        <f t="shared" si="7"/>
        <v>meandrina</v>
      </c>
      <c r="F95" s="2" t="str">
        <f t="shared" si="8"/>
        <v>OGC01F00POC_2</v>
      </c>
      <c r="G95" t="str">
        <f>IF(LEFT(F95,1)="T","Tiahura",IF(LEFT(F95,1)="O","Opunohu",NA))</f>
        <v>Opunohu</v>
      </c>
      <c r="H95" t="s">
        <v>254</v>
      </c>
      <c r="I95" t="s">
        <v>254</v>
      </c>
    </row>
    <row r="96" spans="1:9">
      <c r="A96">
        <v>213299</v>
      </c>
      <c r="B96" t="s">
        <v>273</v>
      </c>
      <c r="C96" t="str">
        <f t="shared" si="5"/>
        <v>19</v>
      </c>
      <c r="D96" s="1" t="s">
        <v>122</v>
      </c>
      <c r="E96" s="1" t="str">
        <f t="shared" si="7"/>
        <v>meandrina</v>
      </c>
      <c r="F96" s="2" t="str">
        <f t="shared" si="8"/>
        <v>OGC04F00POC_2</v>
      </c>
      <c r="G96" t="str">
        <f>IF(LEFT(F96,1)="T","Tiahura",IF(LEFT(F96,1)="O","Opunohu",NA))</f>
        <v>Opunohu</v>
      </c>
      <c r="H96" t="s">
        <v>254</v>
      </c>
      <c r="I96" t="s">
        <v>254</v>
      </c>
    </row>
    <row r="97" spans="1:9">
      <c r="A97">
        <v>213269</v>
      </c>
      <c r="B97" t="s">
        <v>62</v>
      </c>
      <c r="C97" t="str">
        <f t="shared" si="5"/>
        <v>114</v>
      </c>
      <c r="D97" s="1" t="str">
        <f t="shared" si="6"/>
        <v>pocillopora</v>
      </c>
      <c r="E97" s="1" t="str">
        <f t="shared" si="7"/>
        <v>meandrina</v>
      </c>
      <c r="F97" s="2" t="str">
        <f t="shared" si="8"/>
        <v>TTC05F80POC</v>
      </c>
      <c r="G97" t="str">
        <f>IF(LEFT(F97,1)="T","Tiahura",IF(LEFT(F97,1)="O","Opunohu",NA))</f>
        <v>Tiahura</v>
      </c>
      <c r="H97" t="str">
        <f t="shared" si="9"/>
        <v>Out Transplant</v>
      </c>
      <c r="I97" t="s">
        <v>252</v>
      </c>
    </row>
    <row r="98" spans="1:9">
      <c r="A98">
        <v>213265</v>
      </c>
      <c r="B98" t="s">
        <v>63</v>
      </c>
      <c r="C98" t="str">
        <f t="shared" si="5"/>
        <v>110</v>
      </c>
      <c r="D98" s="1" t="str">
        <f t="shared" si="6"/>
        <v>pocillopora</v>
      </c>
      <c r="E98" s="1" t="str">
        <f t="shared" si="7"/>
        <v>meandrina</v>
      </c>
      <c r="F98" s="2" t="str">
        <f t="shared" si="8"/>
        <v>TTC01F80POC</v>
      </c>
      <c r="G98" t="str">
        <f>IF(LEFT(F98,1)="T","Tiahura",IF(LEFT(F98,1)="O","Opunohu",NA))</f>
        <v>Tiahura</v>
      </c>
      <c r="H98" t="str">
        <f t="shared" si="9"/>
        <v>Out Transplant</v>
      </c>
      <c r="I98" t="s">
        <v>252</v>
      </c>
    </row>
    <row r="99" spans="1:9">
      <c r="A99">
        <v>213254</v>
      </c>
      <c r="B99" t="s">
        <v>64</v>
      </c>
      <c r="C99" t="str">
        <f t="shared" si="5"/>
        <v>100</v>
      </c>
      <c r="D99" s="1" t="str">
        <f t="shared" si="6"/>
        <v>pocillopora</v>
      </c>
      <c r="E99" s="1" t="str">
        <f t="shared" si="7"/>
        <v>meandrina</v>
      </c>
      <c r="F99" s="2" t="str">
        <f t="shared" si="8"/>
        <v>TBC01F60POC</v>
      </c>
      <c r="G99" t="str">
        <f>IF(LEFT(F99,1)="T","Tiahura",IF(LEFT(F99,1)="O","Opunohu",NA))</f>
        <v>Tiahura</v>
      </c>
      <c r="H99" t="str">
        <f t="shared" si="9"/>
        <v>Back Transplant</v>
      </c>
      <c r="I99" t="s">
        <v>253</v>
      </c>
    </row>
    <row r="100" spans="1:9">
      <c r="A100">
        <v>213258</v>
      </c>
      <c r="B100" t="s">
        <v>65</v>
      </c>
      <c r="C100" t="str">
        <f t="shared" si="5"/>
        <v>104</v>
      </c>
      <c r="D100" s="1" t="str">
        <f t="shared" si="6"/>
        <v>pocillopora</v>
      </c>
      <c r="E100" s="1" t="str">
        <f t="shared" si="7"/>
        <v>meandrina</v>
      </c>
      <c r="F100" s="2" t="str">
        <f t="shared" si="8"/>
        <v>TBC05F60POC</v>
      </c>
      <c r="G100" t="str">
        <f>IF(LEFT(F100,1)="T","Tiahura",IF(LEFT(F100,1)="O","Opunohu",NA))</f>
        <v>Tiahura</v>
      </c>
      <c r="H100" t="str">
        <f t="shared" si="9"/>
        <v>Back Transplant</v>
      </c>
      <c r="I100" t="s">
        <v>253</v>
      </c>
    </row>
    <row r="101" spans="1:9">
      <c r="A101">
        <v>213381</v>
      </c>
      <c r="B101" t="s">
        <v>66</v>
      </c>
      <c r="C101" t="str">
        <f t="shared" si="5"/>
        <v>94</v>
      </c>
      <c r="D101" s="1" t="str">
        <f t="shared" si="6"/>
        <v>pocillopora</v>
      </c>
      <c r="E101" s="1" t="str">
        <f t="shared" si="7"/>
        <v>meandrina</v>
      </c>
      <c r="F101" s="2" t="str">
        <f t="shared" si="8"/>
        <v>TTC05F60POC</v>
      </c>
      <c r="G101" t="str">
        <f>IF(LEFT(F101,1)="T","Tiahura",IF(LEFT(F101,1)="O","Opunohu",NA))</f>
        <v>Tiahura</v>
      </c>
      <c r="H101" t="str">
        <f t="shared" si="9"/>
        <v>Out Transplant</v>
      </c>
      <c r="I101" t="s">
        <v>253</v>
      </c>
    </row>
    <row r="102" spans="1:9">
      <c r="A102">
        <v>213377</v>
      </c>
      <c r="B102" t="s">
        <v>67</v>
      </c>
      <c r="C102" t="str">
        <f t="shared" si="5"/>
        <v>90</v>
      </c>
      <c r="D102" s="1" t="str">
        <f t="shared" si="6"/>
        <v>pocillopora</v>
      </c>
      <c r="E102" s="1" t="str">
        <f t="shared" si="7"/>
        <v>meandrina</v>
      </c>
      <c r="F102" s="2" t="str">
        <f t="shared" si="8"/>
        <v>TTC01F60POC</v>
      </c>
      <c r="G102" t="str">
        <f>IF(LEFT(F102,1)="T","Tiahura",IF(LEFT(F102,1)="O","Opunohu",NA))</f>
        <v>Tiahura</v>
      </c>
      <c r="H102" t="str">
        <f t="shared" si="9"/>
        <v>Out Transplant</v>
      </c>
      <c r="I102" t="s">
        <v>253</v>
      </c>
    </row>
    <row r="103" spans="1:9">
      <c r="A103">
        <v>213366</v>
      </c>
      <c r="B103" t="s">
        <v>68</v>
      </c>
      <c r="C103" t="str">
        <f t="shared" si="5"/>
        <v>80</v>
      </c>
      <c r="D103" s="1" t="str">
        <f t="shared" si="6"/>
        <v>pocillopora</v>
      </c>
      <c r="E103" s="1" t="str">
        <f t="shared" si="7"/>
        <v>meandrina</v>
      </c>
      <c r="F103" s="2" t="str">
        <f t="shared" si="8"/>
        <v>OBC04F60POC</v>
      </c>
      <c r="G103" t="str">
        <f>IF(LEFT(F103,1)="T","Tiahura",IF(LEFT(F103,1)="O","Opunohu",NA))</f>
        <v>Opunohu</v>
      </c>
      <c r="H103" t="str">
        <f t="shared" si="9"/>
        <v>Back Transplant</v>
      </c>
      <c r="I103" t="s">
        <v>253</v>
      </c>
    </row>
    <row r="104" spans="1:9">
      <c r="A104">
        <v>213349</v>
      </c>
      <c r="B104" t="s">
        <v>69</v>
      </c>
      <c r="C104" t="str">
        <f t="shared" si="5"/>
        <v>65</v>
      </c>
      <c r="D104" s="1" t="str">
        <f t="shared" si="6"/>
        <v>pocillopora</v>
      </c>
      <c r="E104" s="1" t="str">
        <f t="shared" si="7"/>
        <v>meandrina</v>
      </c>
      <c r="F104" s="2" t="str">
        <f t="shared" si="8"/>
        <v>TTC01F40POC</v>
      </c>
      <c r="G104" t="str">
        <f>IF(LEFT(F104,1)="T","Tiahura",IF(LEFT(F104,1)="O","Opunohu",NA))</f>
        <v>Tiahura</v>
      </c>
      <c r="H104" t="str">
        <f t="shared" si="9"/>
        <v>Out Transplant</v>
      </c>
      <c r="I104" t="s">
        <v>263</v>
      </c>
    </row>
    <row r="105" spans="1:9">
      <c r="A105">
        <v>213336</v>
      </c>
      <c r="B105" t="s">
        <v>70</v>
      </c>
      <c r="C105" t="str">
        <f t="shared" si="5"/>
        <v>52</v>
      </c>
      <c r="D105" s="1" t="str">
        <f t="shared" si="6"/>
        <v>pocillopora</v>
      </c>
      <c r="E105" s="1" t="str">
        <f t="shared" si="7"/>
        <v>meandrina</v>
      </c>
      <c r="F105" s="2" t="str">
        <f t="shared" si="8"/>
        <v>OTC02F41POC</v>
      </c>
      <c r="G105" t="str">
        <f>IF(LEFT(F105,1)="T","Tiahura",IF(LEFT(F105,1)="O","Opunohu",NA))</f>
        <v>Opunohu</v>
      </c>
      <c r="H105" t="str">
        <f t="shared" si="9"/>
        <v>Out Transplant</v>
      </c>
      <c r="I105" t="s">
        <v>263</v>
      </c>
    </row>
    <row r="106" spans="1:9">
      <c r="A106">
        <v>213360</v>
      </c>
      <c r="B106" t="s">
        <v>71</v>
      </c>
      <c r="C106" t="str">
        <f t="shared" si="5"/>
        <v>75</v>
      </c>
      <c r="D106" s="1" t="str">
        <f t="shared" si="6"/>
        <v>porites</v>
      </c>
      <c r="E106" s="1" t="str">
        <f t="shared" si="7"/>
        <v>rus</v>
      </c>
      <c r="F106" s="2" t="str">
        <f t="shared" si="8"/>
        <v>OBC04F40POR</v>
      </c>
      <c r="G106" t="str">
        <f>IF(LEFT(F106,1)="T","Tiahura",IF(LEFT(F106,1)="O","Opunohu",NA))</f>
        <v>Opunohu</v>
      </c>
      <c r="H106" t="str">
        <f t="shared" si="9"/>
        <v>Back Transplant</v>
      </c>
      <c r="I106" t="s">
        <v>263</v>
      </c>
    </row>
    <row r="107" spans="1:9">
      <c r="A107">
        <v>213365</v>
      </c>
      <c r="B107" t="s">
        <v>93</v>
      </c>
      <c r="C107" t="str">
        <f t="shared" si="5"/>
        <v>8</v>
      </c>
      <c r="D107" s="1" t="str">
        <f t="shared" si="6"/>
        <v>pocillopora</v>
      </c>
      <c r="E107" s="1" t="str">
        <f t="shared" si="7"/>
        <v>meandrina</v>
      </c>
      <c r="F107" s="2" t="str">
        <f t="shared" si="8"/>
        <v>OGC03F00POC</v>
      </c>
      <c r="G107" t="str">
        <f>IF(LEFT(F107,1)="T","Tiahura",IF(LEFT(F107,1)="O","Opunohu",NA))</f>
        <v>Opunohu</v>
      </c>
      <c r="H107" t="str">
        <f t="shared" si="9"/>
        <v>Genotype</v>
      </c>
      <c r="I107" t="s">
        <v>250</v>
      </c>
    </row>
    <row r="108" spans="1:9">
      <c r="A108">
        <v>213297</v>
      </c>
      <c r="B108" t="s">
        <v>274</v>
      </c>
      <c r="C108" t="str">
        <f t="shared" si="5"/>
        <v>17</v>
      </c>
      <c r="D108" s="1" t="s">
        <v>122</v>
      </c>
      <c r="E108" s="1" t="str">
        <f t="shared" si="7"/>
        <v>meandrina</v>
      </c>
      <c r="F108" s="2" t="str">
        <f t="shared" si="8"/>
        <v>OGC02F00POC_2</v>
      </c>
      <c r="G108" t="str">
        <f>IF(LEFT(F108,1)="T","Tiahura",IF(LEFT(F108,1)="O","Opunohu",NA))</f>
        <v>Opunohu</v>
      </c>
      <c r="H108" t="s">
        <v>254</v>
      </c>
      <c r="I108" t="s">
        <v>254</v>
      </c>
    </row>
    <row r="109" spans="1:9">
      <c r="A109">
        <v>213290</v>
      </c>
      <c r="B109" t="s">
        <v>72</v>
      </c>
      <c r="C109" t="str">
        <f t="shared" si="5"/>
        <v>133</v>
      </c>
      <c r="D109" s="1" t="str">
        <f t="shared" si="6"/>
        <v>pocillopora</v>
      </c>
      <c r="E109" s="1" t="str">
        <f t="shared" si="7"/>
        <v>meandrina</v>
      </c>
      <c r="F109" s="2" t="str">
        <f t="shared" si="8"/>
        <v>TBC05F80POC</v>
      </c>
      <c r="G109" t="str">
        <f>IF(LEFT(F109,1)="T","Tiahura",IF(LEFT(F109,1)="O","Opunohu",NA))</f>
        <v>Tiahura</v>
      </c>
      <c r="H109" t="str">
        <f t="shared" si="9"/>
        <v>Back Transplant</v>
      </c>
      <c r="I109" t="s">
        <v>252</v>
      </c>
    </row>
    <row r="110" spans="1:9">
      <c r="A110">
        <v>213313</v>
      </c>
      <c r="B110" t="s">
        <v>107</v>
      </c>
      <c r="C110" t="str">
        <f t="shared" si="5"/>
        <v>31</v>
      </c>
      <c r="D110" s="1" t="str">
        <f t="shared" si="6"/>
        <v>porites</v>
      </c>
      <c r="E110" s="1" t="str">
        <f t="shared" si="7"/>
        <v>rus</v>
      </c>
      <c r="F110" s="2" t="str">
        <f t="shared" si="8"/>
        <v>TBC01F11POR</v>
      </c>
      <c r="G110" t="str">
        <f>IF(LEFT(F110,1)="T","Tiahura",IF(LEFT(F110,1)="O","Opunohu",NA))</f>
        <v>Tiahura</v>
      </c>
      <c r="H110" t="str">
        <f t="shared" si="9"/>
        <v>Back Transplant</v>
      </c>
      <c r="I110" t="s">
        <v>251</v>
      </c>
    </row>
    <row r="111" spans="1:9">
      <c r="A111">
        <v>213307</v>
      </c>
      <c r="B111" t="s">
        <v>113</v>
      </c>
      <c r="C111" t="str">
        <f t="shared" si="5"/>
        <v>26</v>
      </c>
      <c r="D111" s="1" t="str">
        <f t="shared" si="6"/>
        <v>porites</v>
      </c>
      <c r="E111" s="1" t="str">
        <f t="shared" si="7"/>
        <v>rus</v>
      </c>
      <c r="F111" s="2" t="str">
        <f t="shared" si="8"/>
        <v>OGC01F00POR</v>
      </c>
      <c r="G111" t="str">
        <f>IF(LEFT(F111,1)="T","Tiahura",IF(LEFT(F111,1)="O","Opunohu",NA))</f>
        <v>Opunohu</v>
      </c>
      <c r="H111" t="str">
        <f t="shared" si="9"/>
        <v>Genotype</v>
      </c>
      <c r="I111" t="s">
        <v>250</v>
      </c>
    </row>
    <row r="112" spans="1:9">
      <c r="A112">
        <v>213316</v>
      </c>
      <c r="B112" t="s">
        <v>104</v>
      </c>
      <c r="C112" t="str">
        <f t="shared" si="5"/>
        <v>34</v>
      </c>
      <c r="D112" s="1" t="str">
        <f t="shared" si="6"/>
        <v>porites</v>
      </c>
      <c r="E112" s="1" t="str">
        <f t="shared" si="7"/>
        <v>rus</v>
      </c>
      <c r="F112" s="2" t="str">
        <f t="shared" si="8"/>
        <v>TBC04F11POR</v>
      </c>
      <c r="G112" t="str">
        <f>IF(LEFT(F112,1)="T","Tiahura",IF(LEFT(F112,1)="O","Opunohu",NA))</f>
        <v>Tiahura</v>
      </c>
      <c r="H112" t="str">
        <f t="shared" si="9"/>
        <v>Back Transplant</v>
      </c>
      <c r="I112" t="s">
        <v>251</v>
      </c>
    </row>
    <row r="113" spans="1:9">
      <c r="A113">
        <v>213318</v>
      </c>
      <c r="B113" t="s">
        <v>102</v>
      </c>
      <c r="C113" t="str">
        <f t="shared" si="5"/>
        <v>36</v>
      </c>
      <c r="D113" s="1" t="str">
        <f t="shared" si="6"/>
        <v>porites</v>
      </c>
      <c r="E113" s="1" t="str">
        <f t="shared" si="7"/>
        <v>rus</v>
      </c>
      <c r="F113" s="2" t="str">
        <f t="shared" si="8"/>
        <v>TTC01F12POR</v>
      </c>
      <c r="G113" t="str">
        <f>IF(LEFT(F113,1)="T","Tiahura",IF(LEFT(F113,1)="O","Opunohu",NA))</f>
        <v>Tiahura</v>
      </c>
      <c r="H113" t="str">
        <f t="shared" si="9"/>
        <v>Out Transplant</v>
      </c>
      <c r="I113" t="s">
        <v>251</v>
      </c>
    </row>
    <row r="114" spans="1:9">
      <c r="A114">
        <v>213294</v>
      </c>
      <c r="B114" t="s">
        <v>275</v>
      </c>
      <c r="C114" t="str">
        <f t="shared" si="5"/>
        <v>159</v>
      </c>
      <c r="D114" s="1" t="s">
        <v>123</v>
      </c>
      <c r="E114" s="1" t="str">
        <f t="shared" si="7"/>
        <v>rus</v>
      </c>
      <c r="F114" s="2" t="str">
        <f t="shared" si="8"/>
        <v>OBC03F40POR_2</v>
      </c>
      <c r="G114" t="str">
        <f>IF(LEFT(F114,1)="T","Tiahura",IF(LEFT(F114,1)="O","Opunohu",NA))</f>
        <v>Opunohu</v>
      </c>
      <c r="H114" t="str">
        <f t="shared" si="9"/>
        <v>Back Transplant</v>
      </c>
      <c r="I114" t="s">
        <v>263</v>
      </c>
    </row>
    <row r="115" spans="1:9">
      <c r="A115">
        <v>213334</v>
      </c>
      <c r="B115" t="s">
        <v>22</v>
      </c>
      <c r="C115" t="str">
        <f t="shared" si="5"/>
        <v>50</v>
      </c>
      <c r="D115" s="1" t="str">
        <f t="shared" si="6"/>
        <v>porites</v>
      </c>
      <c r="E115" s="1" t="str">
        <f t="shared" si="7"/>
        <v>rus</v>
      </c>
      <c r="F115" s="2" t="str">
        <f t="shared" si="8"/>
        <v>OTC05F12POR</v>
      </c>
      <c r="G115" t="str">
        <f>IF(LEFT(F115,1)="T","Tiahura",IF(LEFT(F115,1)="O","Opunohu",NA))</f>
        <v>Opunohu</v>
      </c>
      <c r="H115" t="str">
        <f t="shared" si="9"/>
        <v>Out Transplant</v>
      </c>
      <c r="I115" t="s">
        <v>251</v>
      </c>
    </row>
    <row r="116" spans="1:9">
      <c r="A116">
        <v>213293</v>
      </c>
      <c r="B116" t="s">
        <v>276</v>
      </c>
      <c r="C116" t="str">
        <f t="shared" si="5"/>
        <v>158</v>
      </c>
      <c r="D116" s="1" t="s">
        <v>123</v>
      </c>
      <c r="E116" s="1" t="str">
        <f t="shared" si="7"/>
        <v>rus</v>
      </c>
      <c r="F116" s="2" t="str">
        <f t="shared" si="8"/>
        <v>OBC03F60POR_2</v>
      </c>
      <c r="G116" t="str">
        <f>IF(LEFT(F116,1)="T","Tiahura",IF(LEFT(F116,1)="O","Opunohu",NA))</f>
        <v>Opunohu</v>
      </c>
      <c r="H116" t="str">
        <f t="shared" si="9"/>
        <v>Back Transplant</v>
      </c>
      <c r="I116" t="s">
        <v>253</v>
      </c>
    </row>
    <row r="117" spans="1:9">
      <c r="A117">
        <v>213356</v>
      </c>
      <c r="B117" t="s">
        <v>27</v>
      </c>
      <c r="C117" t="str">
        <f t="shared" si="5"/>
        <v>71</v>
      </c>
      <c r="D117" s="1" t="str">
        <f t="shared" si="6"/>
        <v>porites</v>
      </c>
      <c r="E117" s="1" t="str">
        <f t="shared" si="7"/>
        <v>rus</v>
      </c>
      <c r="F117" s="2" t="str">
        <f t="shared" si="8"/>
        <v>TTC04F40POR</v>
      </c>
      <c r="G117" t="str">
        <f>IF(LEFT(F117,1)="T","Tiahura",IF(LEFT(F117,1)="O","Opunohu",NA))</f>
        <v>Tiahura</v>
      </c>
      <c r="H117" t="str">
        <f t="shared" si="9"/>
        <v>Out Transplant</v>
      </c>
      <c r="I117" t="s">
        <v>263</v>
      </c>
    </row>
    <row r="118" spans="1:9">
      <c r="A118">
        <v>213282</v>
      </c>
      <c r="B118" t="s">
        <v>73</v>
      </c>
      <c r="C118" t="str">
        <f t="shared" si="5"/>
        <v>126</v>
      </c>
      <c r="D118" s="1" t="str">
        <f t="shared" si="6"/>
        <v>pocillopora</v>
      </c>
      <c r="E118" s="1" t="str">
        <f t="shared" si="7"/>
        <v>meandrina</v>
      </c>
      <c r="F118" s="2" t="str">
        <f t="shared" si="8"/>
        <v>OTC03F80POC</v>
      </c>
      <c r="G118" t="str">
        <f>IF(LEFT(F118,1)="T","Tiahura",IF(LEFT(F118,1)="O","Opunohu",NA))</f>
        <v>Opunohu</v>
      </c>
      <c r="H118" t="str">
        <f t="shared" si="9"/>
        <v>Out Transplant</v>
      </c>
      <c r="I118" t="s">
        <v>252</v>
      </c>
    </row>
    <row r="119" spans="1:9">
      <c r="A119">
        <v>213280</v>
      </c>
      <c r="B119" t="s">
        <v>74</v>
      </c>
      <c r="C119" t="str">
        <f t="shared" si="5"/>
        <v>124</v>
      </c>
      <c r="D119" s="1" t="str">
        <f t="shared" si="6"/>
        <v>pocillopora</v>
      </c>
      <c r="E119" s="1" t="str">
        <f t="shared" si="7"/>
        <v>meandrina</v>
      </c>
      <c r="F119" s="2" t="str">
        <f t="shared" si="8"/>
        <v>OTC01F80POC</v>
      </c>
      <c r="G119" t="str">
        <f>IF(LEFT(F119,1)="T","Tiahura",IF(LEFT(F119,1)="O","Opunohu",NA))</f>
        <v>Opunohu</v>
      </c>
      <c r="H119" t="str">
        <f t="shared" si="9"/>
        <v>Out Transplant</v>
      </c>
      <c r="I119" t="s">
        <v>252</v>
      </c>
    </row>
    <row r="120" spans="1:9">
      <c r="A120">
        <v>213285</v>
      </c>
      <c r="B120" t="s">
        <v>75</v>
      </c>
      <c r="C120" t="str">
        <f t="shared" si="5"/>
        <v>129</v>
      </c>
      <c r="D120" s="1" t="str">
        <f t="shared" si="6"/>
        <v>pocillopora</v>
      </c>
      <c r="E120" s="1" t="str">
        <f t="shared" si="7"/>
        <v>meandrina</v>
      </c>
      <c r="F120" s="2" t="str">
        <f t="shared" si="8"/>
        <v>TBC01F80POC</v>
      </c>
      <c r="G120" t="str">
        <f>IF(LEFT(F120,1)="T","Tiahura",IF(LEFT(F120,1)="O","Opunohu",NA))</f>
        <v>Tiahura</v>
      </c>
      <c r="H120" t="str">
        <f t="shared" si="9"/>
        <v>Back Transplant</v>
      </c>
      <c r="I120" t="s">
        <v>252</v>
      </c>
    </row>
    <row r="121" spans="1:9">
      <c r="A121">
        <v>213284</v>
      </c>
      <c r="B121" t="s">
        <v>76</v>
      </c>
      <c r="C121" t="str">
        <f t="shared" si="5"/>
        <v>128</v>
      </c>
      <c r="D121" s="1" t="str">
        <f t="shared" si="6"/>
        <v>pocillopora</v>
      </c>
      <c r="E121" s="1" t="str">
        <f t="shared" si="7"/>
        <v>meandrina</v>
      </c>
      <c r="F121" s="2" t="str">
        <f t="shared" si="8"/>
        <v>OTC05F80POC</v>
      </c>
      <c r="G121" t="str">
        <f>IF(LEFT(F121,1)="T","Tiahura",IF(LEFT(F121,1)="O","Opunohu",NA))</f>
        <v>Opunohu</v>
      </c>
      <c r="H121" t="str">
        <f t="shared" si="9"/>
        <v>Out Transplant</v>
      </c>
      <c r="I121" t="s">
        <v>252</v>
      </c>
    </row>
    <row r="122" spans="1:9">
      <c r="A122">
        <v>213283</v>
      </c>
      <c r="B122" t="s">
        <v>77</v>
      </c>
      <c r="C122" t="str">
        <f t="shared" si="5"/>
        <v>127</v>
      </c>
      <c r="D122" s="1" t="str">
        <f t="shared" si="6"/>
        <v>pocillopora</v>
      </c>
      <c r="E122" s="1" t="str">
        <f t="shared" si="7"/>
        <v>meandrina</v>
      </c>
      <c r="F122" s="2" t="str">
        <f t="shared" si="8"/>
        <v>OTC04F80POC</v>
      </c>
      <c r="G122" t="str">
        <f>IF(LEFT(F122,1)="T","Tiahura",IF(LEFT(F122,1)="O","Opunohu",NA))</f>
        <v>Opunohu</v>
      </c>
      <c r="H122" t="str">
        <f t="shared" si="9"/>
        <v>Out Transplant</v>
      </c>
      <c r="I122" t="s">
        <v>252</v>
      </c>
    </row>
    <row r="123" spans="1:9">
      <c r="A123">
        <v>213287</v>
      </c>
      <c r="B123" t="s">
        <v>78</v>
      </c>
      <c r="C123" t="str">
        <f t="shared" si="5"/>
        <v>130</v>
      </c>
      <c r="D123" s="1" t="str">
        <f t="shared" si="6"/>
        <v>pocillopora</v>
      </c>
      <c r="E123" s="1" t="str">
        <f t="shared" si="7"/>
        <v>meandrina</v>
      </c>
      <c r="F123" s="2" t="str">
        <f t="shared" si="8"/>
        <v>TBC02F80POC</v>
      </c>
      <c r="G123" t="str">
        <f>IF(LEFT(F123,1)="T","Tiahura",IF(LEFT(F123,1)="O","Opunohu",NA))</f>
        <v>Tiahura</v>
      </c>
      <c r="H123" t="str">
        <f t="shared" si="9"/>
        <v>Back Transplant</v>
      </c>
      <c r="I123" t="s">
        <v>252</v>
      </c>
    </row>
    <row r="124" spans="1:9">
      <c r="A124">
        <v>213362</v>
      </c>
      <c r="B124" t="s">
        <v>79</v>
      </c>
      <c r="C124" t="str">
        <f t="shared" si="5"/>
        <v>77</v>
      </c>
      <c r="D124" s="1" t="str">
        <f t="shared" si="6"/>
        <v>pocillopora</v>
      </c>
      <c r="E124" s="1" t="str">
        <f t="shared" si="7"/>
        <v>meandrina</v>
      </c>
      <c r="F124" s="2" t="str">
        <f t="shared" si="8"/>
        <v>OBC01F60POC</v>
      </c>
      <c r="G124" t="str">
        <f>IF(LEFT(F124,1)="T","Tiahura",IF(LEFT(F124,1)="O","Opunohu",NA))</f>
        <v>Opunohu</v>
      </c>
      <c r="H124" t="str">
        <f t="shared" si="9"/>
        <v>Back Transplant</v>
      </c>
      <c r="I124" t="s">
        <v>253</v>
      </c>
    </row>
    <row r="125" spans="1:9">
      <c r="A125">
        <v>213266</v>
      </c>
      <c r="B125" t="s">
        <v>87</v>
      </c>
      <c r="C125" t="str">
        <f t="shared" si="5"/>
        <v>111</v>
      </c>
      <c r="D125" s="1" t="str">
        <f t="shared" si="6"/>
        <v>pocillopora</v>
      </c>
      <c r="E125" s="1" t="str">
        <f t="shared" si="7"/>
        <v>meandrina</v>
      </c>
      <c r="F125" s="2" t="str">
        <f t="shared" si="8"/>
        <v>TTC02F80POC</v>
      </c>
      <c r="G125" t="str">
        <f>IF(LEFT(F125,1)="T","Tiahura",IF(LEFT(F125,1)="O","Opunohu",NA))</f>
        <v>Tiahura</v>
      </c>
      <c r="H125" t="str">
        <f t="shared" si="9"/>
        <v>Out Transplant</v>
      </c>
      <c r="I125" t="s">
        <v>252</v>
      </c>
    </row>
    <row r="126" spans="1:9">
      <c r="A126">
        <v>213278</v>
      </c>
      <c r="B126" t="s">
        <v>26</v>
      </c>
      <c r="C126" t="str">
        <f t="shared" si="5"/>
        <v>122</v>
      </c>
      <c r="D126" s="1" t="str">
        <f t="shared" si="6"/>
        <v>porites</v>
      </c>
      <c r="E126" s="1" t="str">
        <f t="shared" si="7"/>
        <v>rus</v>
      </c>
      <c r="F126" s="2" t="str">
        <f t="shared" si="8"/>
        <v>OBC04F80POR</v>
      </c>
      <c r="G126" t="str">
        <f>IF(LEFT(F126,1)="T","Tiahura",IF(LEFT(F126,1)="O","Opunohu",NA))</f>
        <v>Opunohu</v>
      </c>
      <c r="H126" t="str">
        <f t="shared" si="9"/>
        <v>Back Transplant</v>
      </c>
      <c r="I126" t="s">
        <v>252</v>
      </c>
    </row>
    <row r="127" spans="1:9">
      <c r="A127">
        <v>213371</v>
      </c>
      <c r="B127" t="s">
        <v>21</v>
      </c>
      <c r="C127" t="str">
        <f t="shared" si="5"/>
        <v>85</v>
      </c>
      <c r="D127" s="1" t="str">
        <f t="shared" si="6"/>
        <v>porites</v>
      </c>
      <c r="E127" s="1" t="str">
        <f t="shared" si="7"/>
        <v>rus</v>
      </c>
      <c r="F127" s="2" t="str">
        <f t="shared" si="8"/>
        <v>OBC05F60POR</v>
      </c>
      <c r="G127" t="str">
        <f>IF(LEFT(F127,1)="T","Tiahura",IF(LEFT(F127,1)="O","Opunohu",NA))</f>
        <v>Opunohu</v>
      </c>
      <c r="H127" t="str">
        <f t="shared" si="9"/>
        <v>Back Transplant</v>
      </c>
      <c r="I127" t="s">
        <v>253</v>
      </c>
    </row>
    <row r="128" spans="1:9">
      <c r="A128">
        <v>213361</v>
      </c>
      <c r="B128" t="s">
        <v>25</v>
      </c>
      <c r="C128" t="str">
        <f t="shared" si="5"/>
        <v>76</v>
      </c>
      <c r="D128" s="1" t="str">
        <f t="shared" si="6"/>
        <v>porites</v>
      </c>
      <c r="E128" s="1" t="str">
        <f t="shared" si="7"/>
        <v>rus</v>
      </c>
      <c r="F128" s="2" t="str">
        <f t="shared" si="8"/>
        <v>OBC05F40POR</v>
      </c>
      <c r="G128" t="str">
        <f>IF(LEFT(F128,1)="T","Tiahura",IF(LEFT(F128,1)="O","Opunohu",NA))</f>
        <v>Opunohu</v>
      </c>
      <c r="H128" t="str">
        <f t="shared" si="9"/>
        <v>Back Transplant</v>
      </c>
      <c r="I128" t="s">
        <v>263</v>
      </c>
    </row>
    <row r="129" spans="1:9">
      <c r="A129">
        <v>213330</v>
      </c>
      <c r="B129" t="s">
        <v>33</v>
      </c>
      <c r="C129" t="str">
        <f t="shared" si="5"/>
        <v>47</v>
      </c>
      <c r="D129" s="1" t="str">
        <f t="shared" si="6"/>
        <v>porites</v>
      </c>
      <c r="E129" s="1" t="str">
        <f t="shared" si="7"/>
        <v>rus</v>
      </c>
      <c r="F129" s="2" t="str">
        <f t="shared" si="8"/>
        <v>OTC02F02POR</v>
      </c>
      <c r="G129" t="str">
        <f>IF(LEFT(F129,1)="T","Tiahura",IF(LEFT(F129,1)="O","Opunohu",NA))</f>
        <v>Opunohu</v>
      </c>
      <c r="H129" t="str">
        <f t="shared" si="9"/>
        <v>Out Transplant</v>
      </c>
      <c r="I129" t="s">
        <v>251</v>
      </c>
    </row>
    <row r="130" spans="1:9">
      <c r="A130">
        <v>213271</v>
      </c>
      <c r="B130" t="s">
        <v>90</v>
      </c>
      <c r="C130" t="str">
        <f t="shared" si="5"/>
        <v>116</v>
      </c>
      <c r="D130" s="1" t="str">
        <f t="shared" si="6"/>
        <v>pocillopora</v>
      </c>
      <c r="E130" s="1" t="str">
        <f t="shared" si="7"/>
        <v>meandrina</v>
      </c>
      <c r="F130" s="2" t="str">
        <f t="shared" si="8"/>
        <v>OBC02F80POC</v>
      </c>
      <c r="G130" t="str">
        <f>IF(LEFT(F130,1)="T","Tiahura",IF(LEFT(F130,1)="O","Opunohu",NA))</f>
        <v>Opunohu</v>
      </c>
      <c r="H130" t="str">
        <f t="shared" si="9"/>
        <v>Back Transplant</v>
      </c>
      <c r="I130" t="s">
        <v>252</v>
      </c>
    </row>
    <row r="131" spans="1:9">
      <c r="A131">
        <v>213376</v>
      </c>
      <c r="B131" t="s">
        <v>92</v>
      </c>
      <c r="C131" t="str">
        <f t="shared" ref="C131:C136" si="10">LEFT(B131,FIND("-",B131)-1)</f>
        <v>9</v>
      </c>
      <c r="D131" s="1" t="str">
        <f t="shared" ref="D131:D136" si="11">IF(RIGHT(B131,3)="POR","porites",IF(RIGHT(B131,3)="POC","pocillopora","NA"))</f>
        <v>pocillopora</v>
      </c>
      <c r="E131" s="1" t="str">
        <f t="shared" ref="E131:E136" si="12">IF(D131="porites","rus",IF(D131="pocillopora","meandrina","NA"))</f>
        <v>meandrina</v>
      </c>
      <c r="F131" s="2" t="str">
        <f t="shared" ref="F131:F136" si="13">RIGHT(B131,LEN(B131)-SEARCH("-",B131))</f>
        <v>OGC04F00POC</v>
      </c>
      <c r="G131" t="str">
        <f>IF(LEFT(F131,1)="T","Tiahura",IF(LEFT(F131,1)="O","Opunohu",NA))</f>
        <v>Opunohu</v>
      </c>
      <c r="H131" t="str">
        <f t="shared" ref="H131:H136" si="14">IF(MID(F131,2,1)="T","Out Transplant",IF(MID(F131,2,1)="B","Back Transplant",IF(MID(F131,2,1)="G","Genotype","NA")))</f>
        <v>Genotype</v>
      </c>
      <c r="I131" t="s">
        <v>250</v>
      </c>
    </row>
    <row r="132" spans="1:9">
      <c r="A132">
        <v>213379</v>
      </c>
      <c r="B132" t="s">
        <v>88</v>
      </c>
      <c r="C132" t="str">
        <f t="shared" si="10"/>
        <v>92</v>
      </c>
      <c r="D132" s="1" t="str">
        <f t="shared" si="11"/>
        <v>pocillopora</v>
      </c>
      <c r="E132" s="1" t="str">
        <f t="shared" si="12"/>
        <v>meandrina</v>
      </c>
      <c r="F132" s="2" t="str">
        <f t="shared" si="13"/>
        <v>TTC03F60POC</v>
      </c>
      <c r="G132" t="str">
        <f>IF(LEFT(F132,1)="T","Tiahura",IF(LEFT(F132,1)="O","Opunohu",NA))</f>
        <v>Tiahura</v>
      </c>
      <c r="H132" t="str">
        <f t="shared" si="14"/>
        <v>Out Transplant</v>
      </c>
      <c r="I132" t="s">
        <v>253</v>
      </c>
    </row>
    <row r="133" spans="1:9">
      <c r="A133">
        <v>213367</v>
      </c>
      <c r="B133" t="s">
        <v>89</v>
      </c>
      <c r="C133" t="str">
        <f t="shared" si="10"/>
        <v>81</v>
      </c>
      <c r="D133" s="1" t="str">
        <f t="shared" si="11"/>
        <v>pocillopora</v>
      </c>
      <c r="E133" s="1" t="str">
        <f t="shared" si="12"/>
        <v>meandrina</v>
      </c>
      <c r="F133" s="2" t="str">
        <f t="shared" si="13"/>
        <v>OBC05F60POC</v>
      </c>
      <c r="G133" t="str">
        <f>IF(LEFT(F133,1)="T","Tiahura",IF(LEFT(F133,1)="O","Opunohu",NA))</f>
        <v>Opunohu</v>
      </c>
      <c r="H133" t="str">
        <f t="shared" si="14"/>
        <v>Back Transplant</v>
      </c>
      <c r="I133" t="s">
        <v>253</v>
      </c>
    </row>
    <row r="134" spans="1:9">
      <c r="A134">
        <v>213301</v>
      </c>
      <c r="B134" t="s">
        <v>277</v>
      </c>
      <c r="C134" t="str">
        <f t="shared" si="10"/>
        <v>20</v>
      </c>
      <c r="D134" s="1" t="s">
        <v>122</v>
      </c>
      <c r="E134" s="1" t="str">
        <f t="shared" si="12"/>
        <v>meandrina</v>
      </c>
      <c r="F134" s="2" t="str">
        <f t="shared" si="13"/>
        <v>OGC05F00POC_2</v>
      </c>
      <c r="G134" t="str">
        <f>IF(LEFT(F134,1)="T","Tiahura",IF(LEFT(F134,1)="O","Opunohu",NA))</f>
        <v>Opunohu</v>
      </c>
      <c r="H134" t="s">
        <v>254</v>
      </c>
      <c r="I134" t="s">
        <v>254</v>
      </c>
    </row>
    <row r="135" spans="1:9">
      <c r="A135">
        <v>213281</v>
      </c>
      <c r="B135" t="s">
        <v>91</v>
      </c>
      <c r="C135" t="str">
        <f t="shared" si="10"/>
        <v>125</v>
      </c>
      <c r="D135" s="1" t="str">
        <f t="shared" si="11"/>
        <v>pocillopora</v>
      </c>
      <c r="E135" s="1" t="str">
        <f t="shared" si="12"/>
        <v>meandrina</v>
      </c>
      <c r="F135" s="2" t="str">
        <f t="shared" si="13"/>
        <v>OTC02F80POC</v>
      </c>
      <c r="G135" t="str">
        <f>IF(LEFT(F135,1)="T","Tiahura",IF(LEFT(F135,1)="O","Opunohu",NA))</f>
        <v>Opunohu</v>
      </c>
      <c r="H135" t="str">
        <f t="shared" si="14"/>
        <v>Out Transplant</v>
      </c>
      <c r="I135" t="s">
        <v>252</v>
      </c>
    </row>
    <row r="136" spans="1:9">
      <c r="A136">
        <v>213253</v>
      </c>
      <c r="B136" t="s">
        <v>120</v>
      </c>
      <c r="C136" t="str">
        <f t="shared" si="10"/>
        <v>10</v>
      </c>
      <c r="D136" s="1" t="str">
        <f t="shared" si="11"/>
        <v>pocillopora</v>
      </c>
      <c r="E136" s="1" t="str">
        <f t="shared" si="12"/>
        <v>meandrina</v>
      </c>
      <c r="F136" s="2" t="str">
        <f t="shared" si="13"/>
        <v>OGC05F00POC</v>
      </c>
      <c r="G136" t="str">
        <f>IF(LEFT(F136,1)="T","Tiahura",IF(LEFT(F136,1)="O","Opunohu",NA))</f>
        <v>Opunohu</v>
      </c>
      <c r="H136" t="str">
        <f t="shared" si="14"/>
        <v>Genotype</v>
      </c>
      <c r="I13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RData_Abso</vt:lpstr>
      <vt:lpstr>RData_Rela</vt:lpstr>
      <vt:lpstr>MetaData</vt:lpstr>
      <vt:lpstr>SampleKey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Armstrong</dc:creator>
  <cp:lastModifiedBy>Eric Armstrong</cp:lastModifiedBy>
  <dcterms:created xsi:type="dcterms:W3CDTF">2024-11-27T14:00:34Z</dcterms:created>
  <dcterms:modified xsi:type="dcterms:W3CDTF">2025-02-01T11:23:33Z</dcterms:modified>
</cp:coreProperties>
</file>